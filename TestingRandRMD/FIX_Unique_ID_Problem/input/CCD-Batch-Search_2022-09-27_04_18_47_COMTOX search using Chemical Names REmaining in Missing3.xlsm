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arc\Documents\Kevin Oregon Wristband\DATA\R_analysis\BEST_JULY_2018_DRS_MORE\FIX_Unique_ID_Problem\"/>
    </mc:Choice>
  </mc:AlternateContent>
  <xr:revisionPtr revIDLastSave="0" documentId="13_ncr:1_{9F73DA20-586A-47B1-BD09-2865C06106A0}" xr6:coauthVersionLast="47" xr6:coauthVersionMax="47" xr10:uidLastSave="{00000000-0000-0000-0000-000000000000}"/>
  <bookViews>
    <workbookView xWindow="-120" yWindow="-120" windowWidth="51840" windowHeight="21390" activeTab="1" xr2:uid="{00000000-000D-0000-FFFF-FFFF00000000}"/>
  </bookViews>
  <sheets>
    <sheet name="Cover Sheet" sheetId="1" r:id="rId1"/>
    <sheet name="maindata" sheetId="2" r:id="rId2"/>
    <sheet name="Synonym Identifier" sheetId="3" r:id="rId3"/>
    <sheet name="Related Relationship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7" i="2" l="1" a="1"/>
  <c r="N31" i="2" a="1"/>
  <c r="N37" i="2" a="1"/>
  <c r="N44" i="2" a="1"/>
  <c r="N30" i="2" a="1"/>
  <c r="N20" i="2" a="1"/>
  <c r="N11" i="2" a="1"/>
  <c r="N49" i="2" a="1"/>
  <c r="N23" i="2" a="1"/>
  <c r="N29" i="2" a="1"/>
  <c r="N50" i="2" a="1"/>
  <c r="N22" i="2" a="1"/>
  <c r="N27" i="2" a="1"/>
  <c r="N41" i="2" a="1"/>
  <c r="N15" i="2" a="1"/>
  <c r="N21" i="2" a="1"/>
  <c r="N42" i="2" a="1"/>
  <c r="N2" i="2" a="1"/>
  <c r="N14" i="2" a="1"/>
  <c r="N43" i="2" a="1"/>
  <c r="N33" i="2" a="1"/>
  <c r="N7" i="2" a="1"/>
  <c r="N13" i="2" a="1"/>
  <c r="N34" i="2" a="1"/>
  <c r="N10" i="2" a="1"/>
  <c r="N28" i="2" a="1"/>
  <c r="N47" i="2" a="1"/>
  <c r="N25" i="2" a="1"/>
  <c r="N55" i="2" a="1"/>
  <c r="N5" i="2" a="1"/>
  <c r="N26" i="2" a="1"/>
  <c r="N19" i="2" a="1"/>
  <c r="N6" i="2" a="1"/>
  <c r="N39" i="2" a="1"/>
  <c r="N17" i="2" a="1"/>
  <c r="N54" i="2" a="1"/>
  <c r="N51" i="2" a="1"/>
  <c r="N18" i="2" a="1"/>
  <c r="N46" i="2" a="1"/>
  <c r="N16" i="2" a="1"/>
  <c r="N9" i="2" a="1"/>
  <c r="N35" i="2" a="1"/>
  <c r="N56" i="2" a="1"/>
  <c r="N38" i="2" a="1"/>
  <c r="N3" i="2" a="1"/>
  <c r="N36" i="2" a="1"/>
  <c r="N48" i="2" a="1"/>
  <c r="N52" i="2" a="1"/>
  <c r="N12" i="2" a="1"/>
  <c r="N45" i="2" a="1"/>
  <c r="N40" i="2" a="1"/>
  <c r="N32" i="2" a="1"/>
  <c r="N4" i="2" a="1"/>
  <c r="N24" i="2" a="1"/>
  <c r="N53" i="2" a="1"/>
  <c r="N8" i="2" a="1"/>
  <c r="N10" i="2" l="1"/>
  <c r="N18" i="2"/>
  <c r="N26" i="2"/>
  <c r="N34" i="2"/>
  <c r="N42" i="2"/>
  <c r="N50" i="2"/>
  <c r="N44" i="2"/>
  <c r="N11" i="2"/>
  <c r="N43" i="2"/>
  <c r="N4" i="2"/>
  <c r="N12" i="2"/>
  <c r="N20" i="2"/>
  <c r="N28" i="2"/>
  <c r="N36" i="2"/>
  <c r="N52" i="2"/>
  <c r="N3" i="2"/>
  <c r="N19" i="2"/>
  <c r="N51" i="2"/>
  <c r="N5" i="2"/>
  <c r="N13" i="2"/>
  <c r="N21" i="2"/>
  <c r="N29" i="2"/>
  <c r="N37" i="2"/>
  <c r="N45" i="2"/>
  <c r="N53" i="2"/>
  <c r="N35" i="2"/>
  <c r="N27" i="2"/>
  <c r="N6" i="2"/>
  <c r="N14" i="2"/>
  <c r="N22" i="2"/>
  <c r="N30" i="2"/>
  <c r="N38" i="2"/>
  <c r="N46" i="2"/>
  <c r="N54" i="2"/>
  <c r="N55" i="2"/>
  <c r="N7" i="2"/>
  <c r="N15" i="2"/>
  <c r="N23" i="2"/>
  <c r="N31" i="2"/>
  <c r="N39" i="2"/>
  <c r="N47" i="2"/>
  <c r="N8" i="2"/>
  <c r="N16" i="2"/>
  <c r="N24" i="2"/>
  <c r="N32" i="2"/>
  <c r="N40" i="2"/>
  <c r="N48" i="2"/>
  <c r="N56" i="2"/>
  <c r="N9" i="2"/>
  <c r="N17" i="2"/>
  <c r="N25" i="2"/>
  <c r="N33" i="2"/>
  <c r="N41" i="2"/>
  <c r="N49" i="2"/>
  <c r="N57" i="2"/>
  <c r="N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<sst xmlns="http://schemas.openxmlformats.org/spreadsheetml/2006/main" count="1391" uniqueCount="550">
  <si>
    <t>WARNING</t>
  </si>
  <si>
    <t>DO NOT COPY / PASTE THIS DATA 
 Some search terms returned multiple values, copy/paste will result in misaligned data</t>
  </si>
  <si>
    <t>Search datestamp</t>
  </si>
  <si>
    <t>2022-09-27 16:18:49</t>
  </si>
  <si>
    <t>Search term count</t>
  </si>
  <si>
    <t>Found count</t>
  </si>
  <si>
    <t>Not found count</t>
  </si>
  <si>
    <t>Duplicate count</t>
  </si>
  <si>
    <t>INPUT</t>
  </si>
  <si>
    <t>FOUND_BY</t>
  </si>
  <si>
    <t>DTXSID</t>
  </si>
  <si>
    <t>PREFERRED_NAME</t>
  </si>
  <si>
    <t>DTXCID</t>
  </si>
  <si>
    <t>CASRN</t>
  </si>
  <si>
    <t>INCHIKEY</t>
  </si>
  <si>
    <t>IUPAC_NAME</t>
  </si>
  <si>
    <t>SMILES</t>
  </si>
  <si>
    <t>INCHI_STRING</t>
  </si>
  <si>
    <t>IRIS_LINK</t>
  </si>
  <si>
    <t>WIKIPEDIA_ARTICLE</t>
  </si>
  <si>
    <t>BIOCONCENTRATION_FACTOR_TEST_PRED</t>
  </si>
  <si>
    <t>BOILING_POINT_DEGC_TEST_PRED</t>
  </si>
  <si>
    <t>48HR_DAPHNIA_LC50_MOL/L_TEST_PRED</t>
  </si>
  <si>
    <t>DENSITY_G/CM^3_TEST_PRED</t>
  </si>
  <si>
    <t>DEVTOX_TEST_PRED</t>
  </si>
  <si>
    <t>96HR_FATHEAD_MINNOW_MOL/L_TEST_PRED</t>
  </si>
  <si>
    <t>FLASH_POINT_DEGC_TEST_PRED</t>
  </si>
  <si>
    <t>MELTING_POINT_DEGC_TEST_PRED</t>
  </si>
  <si>
    <t>AMES_MUTAGENICITY_TEST_PRED</t>
  </si>
  <si>
    <t>ORAL_RAT_LD50_MOL/KG_TEST_PRED</t>
  </si>
  <si>
    <t>SURFACE_TENSION_DYN/CM_TEST_PRED</t>
  </si>
  <si>
    <t>THERMAL_CONDUCTIVITY_MW/(M*K)_TEST_PRED</t>
  </si>
  <si>
    <t>TETRAHYMENA_PYRIFORMIS_IGC50_MOL/L_TEST_PRED</t>
  </si>
  <si>
    <t>VISCOSITY_CP_CP_TEST_PRED</t>
  </si>
  <si>
    <t>VAPOR_PRESSURE_MMHG_TEST_PRED</t>
  </si>
  <si>
    <t>WATER_SOLUBILITY_MOL/L_TEST_PRED</t>
  </si>
  <si>
    <t>ATMOSPHERIC_HYDROXYLATION_RATE_(AOH)_CM3/MOLECULE*SEC_OPERA_PRED</t>
  </si>
  <si>
    <t>BIOCONCENTRATION_FACTOR_OPERA_PRED</t>
  </si>
  <si>
    <t>BIODEGRADATION_HALF_LIFE_DAYS_DAYS_OPERA_PRED</t>
  </si>
  <si>
    <t>BOILING_POINT_DEGC_OPERA_PRED</t>
  </si>
  <si>
    <t>HENRYS_LAW_ATM-M3/MOLE_OPERA_PRED</t>
  </si>
  <si>
    <t>OPERA_KM_DAYS_OPERA_PRED</t>
  </si>
  <si>
    <t>OCTANOL_AIR_PARTITION_COEFF_LOGKOA_OPERA_PRED</t>
  </si>
  <si>
    <t>SOIL_ADSORPTION_COEFFICIENT_KOC_L/KG_OPERA_PRED</t>
  </si>
  <si>
    <t>OCTANOL_WATER_PARTITION_LOGP_OPERA_PRED</t>
  </si>
  <si>
    <t>MELTING_POINT_DEGC_OPERA_PRED</t>
  </si>
  <si>
    <t>OPERA_PKAA_OPERA_PRED</t>
  </si>
  <si>
    <t>OPERA_PKAB_OPERA_PRED</t>
  </si>
  <si>
    <t>VAPOR_PRESSURE_MMHG_OPERA_PRED</t>
  </si>
  <si>
    <t>WATER_SOLUBILITY_MOL/L_OPERA_PRED</t>
  </si>
  <si>
    <t>Captafol</t>
  </si>
  <si>
    <t>Approved Name</t>
  </si>
  <si>
    <t>DTXSID4020242</t>
  </si>
  <si>
    <t>DTXCID60242</t>
  </si>
  <si>
    <t>2425-06-1</t>
  </si>
  <si>
    <t>JHRWWRDRBPCWTF-UHFFFAOYSA-N</t>
  </si>
  <si>
    <t>2-[(1,1,2,2-Tetrachloroethyl)sulfanyl]-3a,4,7,7a-tetrahydro-1H-isoindole-1,3(2H)-dione</t>
  </si>
  <si>
    <t>ClC(Cl)C(Cl)(Cl)SN1C(=O)C2CC=CCC2C1=O</t>
  </si>
  <si>
    <t xml:space="preserve">InChI=1/C10H9Cl4NO2S/c11-9(12)10(13,14)18-15-7(16)5-3-1-2-4-6(5)8(15)17/h1-2,5-6,9H,3-4H2
</t>
  </si>
  <si>
    <t>Y</t>
  </si>
  <si>
    <t xml:space="preserve"> </t>
  </si>
  <si>
    <t>Chloropropylate</t>
  </si>
  <si>
    <t>DTXSID5041778</t>
  </si>
  <si>
    <t>DTXCID3021778</t>
  </si>
  <si>
    <t>5836-10-2</t>
  </si>
  <si>
    <t>AXGUBXVWZBFQGA-UHFFFAOYSA-N</t>
  </si>
  <si>
    <t>Propan-2-yl bis(4-chlorophenyl)(hydroxy)acetate</t>
  </si>
  <si>
    <t>CC(C)OC(=O)C(O)(C1=CC=C(Cl)C=C1)C1=CC=C(Cl)C=C1</t>
  </si>
  <si>
    <t xml:space="preserve">InChI=1S/C17H16Cl2O3/c1-11(2)22-16(20)17(21,12-3-7-14(18)8-4-12)13-5-9-15(19)10-6-13/h3-11,21H,1-2H3
</t>
  </si>
  <si>
    <t>Disulfoton sulfone</t>
  </si>
  <si>
    <t>DTXSID8041901</t>
  </si>
  <si>
    <t>DTXCID6021901</t>
  </si>
  <si>
    <t>2497-06-5</t>
  </si>
  <si>
    <t>BKVJOVPVLOJPKJ-UHFFFAOYSA-N</t>
  </si>
  <si>
    <t>S-[2-(Ethanesulfonyl)ethyl] O,O-diethyl phosphorodithioate</t>
  </si>
  <si>
    <t>CCOP(=S)(OCC)SCCS(=O)(=O)CC</t>
  </si>
  <si>
    <t xml:space="preserve">InChI=1S/C8H19O4PS3/c1-4-11-13(14,12-5-2)15-7-8-16(9,10)6-3/h4-8H2,1-3H3
</t>
  </si>
  <si>
    <t>6-Nitrochrysene</t>
  </si>
  <si>
    <t>DTXSID9075454</t>
  </si>
  <si>
    <t>DTXCID2047727</t>
  </si>
  <si>
    <t>7496-02-8</t>
  </si>
  <si>
    <t>UAWLTQJFZUYROA-UHFFFAOYSA-N</t>
  </si>
  <si>
    <t>[O-][N+](=O)C1=CC2=C(C=CC3=CC=CC=C23)C2=CC=CC=C12</t>
  </si>
  <si>
    <t xml:space="preserve">InChI=1S/C18H11NO2/c20-19(21)18-11-17-13-6-2-1-5-12(13)9-10-15(17)14-7-3-4-8-16(14)18/h1-11H
</t>
  </si>
  <si>
    <t>Desbromo-bromobutide</t>
  </si>
  <si>
    <t>Searched by Synonym: Found 0 results</t>
  </si>
  <si>
    <t>Dinoseb methyl ether</t>
  </si>
  <si>
    <t>Chloranocryl</t>
  </si>
  <si>
    <t>DTXSID2020424</t>
  </si>
  <si>
    <t>DTXCID00424</t>
  </si>
  <si>
    <t>2164-09-2</t>
  </si>
  <si>
    <t>VCBRBUKGTWLJOB-UHFFFAOYSA-N</t>
  </si>
  <si>
    <t>N-(3,4-Dichlorophenyl)-2-methylprop-2-enamide</t>
  </si>
  <si>
    <t>CC(=C)C(=O)NC1=CC=C(Cl)C(Cl)=C1</t>
  </si>
  <si>
    <t xml:space="preserve">InChI=1S/C10H9Cl2NO/c1-6(2)10(14)13-7-3-4-8(11)9(12)5-7/h3-5H,1H2,2H3,(H,13,14)
</t>
  </si>
  <si>
    <t>Phenthoate</t>
  </si>
  <si>
    <t>DTXSID6042280</t>
  </si>
  <si>
    <t>DTXCID4022280</t>
  </si>
  <si>
    <t>2597-03-7</t>
  </si>
  <si>
    <t>XAMUDJHXFNRLCY-UHFFFAOYSA-N</t>
  </si>
  <si>
    <t>Ethyl [(dimethoxyphosphorothioyl)sulfanyl](phenyl)acetate</t>
  </si>
  <si>
    <t>CCOC(=O)C(SP(=S)(OC)OC)C1=CC=CC=C1</t>
  </si>
  <si>
    <t xml:space="preserve">InChI=1/C12H17O4PS2/c1-4-16-12(13)11(10-8-6-5-7-9-10)19-17(18,14-2)15-3/h5-9,11H,4H2,1-3H3
</t>
  </si>
  <si>
    <t>Chinomethionat</t>
  </si>
  <si>
    <t>Synonym</t>
  </si>
  <si>
    <t>DTXSID2032342</t>
  </si>
  <si>
    <t>Chinomethionate</t>
  </si>
  <si>
    <t>DTXCID0012342</t>
  </si>
  <si>
    <t>2439-01-2</t>
  </si>
  <si>
    <t>FBQQHUGEACOBDN-UHFFFAOYSA-N</t>
  </si>
  <si>
    <t>6-Methyl-2H-[1,3]dithiolo[4,5-b]quinoxalin-2-one</t>
  </si>
  <si>
    <t>CC1=CC2=NC3=C(SC(=O)S3)N=C2C=C1</t>
  </si>
  <si>
    <t xml:space="preserve">InChI=1S/C10H6N2OS2/c1-5-2-3-6-7(4-5)12-9-8(11-6)14-10(13)15-9/h2-4H,1H3
</t>
  </si>
  <si>
    <t>Tryclopyrbutoxyethyl</t>
  </si>
  <si>
    <t>Methiocarb sulfoxide</t>
  </si>
  <si>
    <t>DTXSID8042139</t>
  </si>
  <si>
    <t>DTXCID6022139</t>
  </si>
  <si>
    <t>2635-10-1</t>
  </si>
  <si>
    <t>FNCMBMZOZQAWJA-UHFFFAOYSA-N</t>
  </si>
  <si>
    <t>4-(Methanesulfinyl)-3,5-dimethylphenyl methylcarbamate</t>
  </si>
  <si>
    <t>CNC(=O)OC1=CC(C)=C(C(C)=C1)S(C)=O</t>
  </si>
  <si>
    <t xml:space="preserve">InChI=1/C11H15NO3S/c1-7-5-9(15-11(13)12-3)6-8(2)10(7)16(4)14/h5-6H,1-4H3,(H,12,13)
</t>
  </si>
  <si>
    <t>Lenacil</t>
  </si>
  <si>
    <t>DTXSID9042093</t>
  </si>
  <si>
    <t>DTXCID7022093</t>
  </si>
  <si>
    <t>2164-08-1</t>
  </si>
  <si>
    <t>ZTMKADLOSYKWCA-UHFFFAOYSA-N</t>
  </si>
  <si>
    <t>3-Cyclohexyl-6,7-dihydro-1H-cyclopenta[d]pyrimidine-2,4(3H,5H)-dione</t>
  </si>
  <si>
    <t>O=C1NC2=C(CCC2)C(=O)N1C1CCCCC1</t>
  </si>
  <si>
    <t xml:space="preserve">InChI=1S/C13H18N2O2/c16-12-10-7-4-8-11(10)14-13(17)15(12)9-5-2-1-3-6-9/h9H,1-8H2,(H,14,17)
</t>
  </si>
  <si>
    <t>Epoxiconazole</t>
  </si>
  <si>
    <t>Approved Name - WARNING: Synonym mapped to two or more chemicals</t>
  </si>
  <si>
    <t>DTXSID1040372</t>
  </si>
  <si>
    <t>DTXCID801518894</t>
  </si>
  <si>
    <t>133855-98-8</t>
  </si>
  <si>
    <t>ZMYFCFLJBGAQRS-RXQGYGPJNA-N</t>
  </si>
  <si>
    <t>1-{[(2S,3R)-3-(2-Chlorophenyl)-2-(4-fluorophenyl)oxiran-2-yl]methyl}-1H-1,2,4-triazole</t>
  </si>
  <si>
    <t>FC1=CC=C(C=C1)[C@@]1(CN2C=NC=N2)O[C@@H]1C1=C(Cl)C=CC=C1</t>
  </si>
  <si>
    <t xml:space="preserve">InChI=1/C17H13ClFN3O/c18-15-4-2-1-3-14(15)16-17(23-16,9-22-11-20-10-21-22)12-5-7-13(19)8-6-12/h1-8,10-11,16H,9H2/t16-,17-/s2
</t>
  </si>
  <si>
    <t>Synonym - WARNING: Synonym mapped to two or more chemicals</t>
  </si>
  <si>
    <t>DTXSID901034223</t>
  </si>
  <si>
    <t>1-{[3-(2-Chlorophenyl)-2-(4-fluorophenyl)oxiran-2-yl]methyl}-1H-1,2,4-triazole</t>
  </si>
  <si>
    <t>DTXCID9020372</t>
  </si>
  <si>
    <t>135319-73-2</t>
  </si>
  <si>
    <t>ZMYFCFLJBGAQRS-UHFFFAOYSA-N</t>
  </si>
  <si>
    <t>FC1=CC=C(C=C1)C1(CN2C=NC=N2)OC1C1=C(Cl)C=CC=C1</t>
  </si>
  <si>
    <t xml:space="preserve">InChI=1/C17H13ClFN3O/c18-15-4-2-1-3-14(15)16-17(23-16,9-22-11-20-10-21-22)12-5-7-13(19)8-6-12/h1-8,10-11,16H,9H2
</t>
  </si>
  <si>
    <t>Fenoxycarb</t>
  </si>
  <si>
    <t>DTXSID7032393</t>
  </si>
  <si>
    <t>DTXCID5012393</t>
  </si>
  <si>
    <t>72490-01-8</t>
  </si>
  <si>
    <t>HJUFTIJOISQSKQ-UHFFFAOYSA-N</t>
  </si>
  <si>
    <t>Ethyl [2-(4-phenoxyphenoxy)ethyl]carbamate</t>
  </si>
  <si>
    <t>CCOC(=O)NCCOC1=CC=C(OC2=CC=CC=C2)C=C1</t>
  </si>
  <si>
    <t xml:space="preserve">InChI=1S/C17H19NO4/c1-2-20-17(19)18-12-13-21-14-8-10-16(11-9-14)22-15-6-4-3-5-7-15/h3-11H,2,12-13H2,1H3,(H,18,19)
</t>
  </si>
  <si>
    <t>Fenpropathrin</t>
  </si>
  <si>
    <t>DTXSID0024002</t>
  </si>
  <si>
    <t>DTXCID204002</t>
  </si>
  <si>
    <t>39515-41-8</t>
  </si>
  <si>
    <t>XQUXKZZNEFRCAW-UHFFFAOYSA-N</t>
  </si>
  <si>
    <t>Cyano(3-phenoxyphenyl)methyl 2,2,3,3-tetramethylcyclopropane-1-carboxylate</t>
  </si>
  <si>
    <t>CC1(C)C(C(=O)OC(C#N)C2=CC=CC(OC3=CC=CC=C3)=C2)C1(C)C</t>
  </si>
  <si>
    <t xml:space="preserve">InChI=1/C22H23NO3/c1-21(2)19(22(21,3)4)20(24)26-18(14-23)15-9-8-12-17(13-15)25-16-10-6-5-7-11-16/h5-13,18-19H,1-4H3
</t>
  </si>
  <si>
    <t>Chlorthiophos sulfone</t>
  </si>
  <si>
    <t>Fenbuconazole</t>
  </si>
  <si>
    <t>Expert Validated Synonym</t>
  </si>
  <si>
    <t>DTXSID8032548</t>
  </si>
  <si>
    <t>4-(4-Chlorophenyl)-2-phenyl-2-(1H-1,2,4-triazol-1-ylmethyl)butyronitrile</t>
  </si>
  <si>
    <t>DTXCID6012548</t>
  </si>
  <si>
    <t>114369-43-6</t>
  </si>
  <si>
    <t>RQDJADAKIFFEKQ-UHFFFAOYSA-N</t>
  </si>
  <si>
    <t>4-(4-Chlorophenyl)-2-phenyl-2-[(1H-1,2,4-triazol-1-yl)methyl]butanenitrile</t>
  </si>
  <si>
    <t>ClC1=CC=C(CCC(CN2C=NC=N2)(C#N)C2=CC=CC=C2)C=C1</t>
  </si>
  <si>
    <t xml:space="preserve">InChI=1/C19H17ClN4/c20-18-8-6-16(7-9-18)10-11-19(12-21,13-24-15-22-14-23-24)17-4-2-1-3-5-17/h1-9,14-15H,10-11,13H2
</t>
  </si>
  <si>
    <t>BHC epsilon isomer</t>
  </si>
  <si>
    <t>Flurochloridone, deschloro-</t>
  </si>
  <si>
    <t>Propargite metabolite [Cyclohexanol, 2-(4-tert-butylphenoxy)]</t>
  </si>
  <si>
    <t>Phorate sulfoxide</t>
  </si>
  <si>
    <t>DTXSID1042283</t>
  </si>
  <si>
    <t>DTXCID9022283</t>
  </si>
  <si>
    <t>2588-03-6</t>
  </si>
  <si>
    <t>XRQHTUDGPWMPKX-UHFFFAOYSA-N</t>
  </si>
  <si>
    <t>S-[(Ethanesulfinyl)methyl] O,O-diethyl phosphorodithioate</t>
  </si>
  <si>
    <t>CCOP(=S)(OCC)SCS(=O)CC</t>
  </si>
  <si>
    <t xml:space="preserve">InChI=1/C7H17O3PS3/c1-4-9-11(12,10-5-2)13-7-14(8)6-3/h4-7H2,1-3H3
</t>
  </si>
  <si>
    <t>Terbufos-oxon-sulfone</t>
  </si>
  <si>
    <t>Phorate sulfone</t>
  </si>
  <si>
    <t>DTXSID6042282</t>
  </si>
  <si>
    <t>DTXCID4022282</t>
  </si>
  <si>
    <t>2588-04-7</t>
  </si>
  <si>
    <t>YVPSNUIHHFTTRL-UHFFFAOYSA-N</t>
  </si>
  <si>
    <t>S-[(Ethanesulfonyl)methyl] O,O-diethyl phosphorodithioate</t>
  </si>
  <si>
    <t>CCOP(=S)(OCC)SCS(=O)(=O)CC</t>
  </si>
  <si>
    <t xml:space="preserve">InChI=1S/C7H17O4PS3/c1-4-10-12(13,11-5-2)14-7-15(8,9)6-3/h4-7H2,1-3H3
</t>
  </si>
  <si>
    <t>Chlorfenvinphos, trans-</t>
  </si>
  <si>
    <t>Zoxamide decomposition product</t>
  </si>
  <si>
    <t>Triclosan-methyl</t>
  </si>
  <si>
    <t>DTXSID0047874</t>
  </si>
  <si>
    <t>Methyl triclosan</t>
  </si>
  <si>
    <t>DTXCID0027850</t>
  </si>
  <si>
    <t>4640-01-1</t>
  </si>
  <si>
    <t>NLYDHBBTVWMLFD-UHFFFAOYSA-N</t>
  </si>
  <si>
    <t>2,4-Dichloro-1-(4-chloro-2-methoxyphenoxy)benzene</t>
  </si>
  <si>
    <t>COC1=C(OC2=CC=C(Cl)C=C2Cl)C=CC(Cl)=C1</t>
  </si>
  <si>
    <t xml:space="preserve">InChI=1S/C13H9Cl3O2/c1-17-13-7-9(15)3-5-12(13)18-11-4-2-8(14)6-10(11)16/h2-7H,1H3
</t>
  </si>
  <si>
    <t>Bromfenvinphos-(E)</t>
  </si>
  <si>
    <t>Bromfenvinphos-(Z)</t>
  </si>
  <si>
    <t>p,p'-Dibromobenzophenone</t>
  </si>
  <si>
    <t>DTXSID00192919</t>
  </si>
  <si>
    <t>4,4'-Dibromobenzophenone</t>
  </si>
  <si>
    <t>DTXCID90115410</t>
  </si>
  <si>
    <t>3988-03-2</t>
  </si>
  <si>
    <t>LFABNOYDEODDFX-UHFFFAOYSA-N</t>
  </si>
  <si>
    <t>Bis(4-bromophenyl)methanone</t>
  </si>
  <si>
    <t>BrC1=CC=C(C=C1)C(=O)C1=CC=C(Br)C=C1</t>
  </si>
  <si>
    <t xml:space="preserve">InChI=1S/C13H8Br2O/c14-11-5-1-9(2-6-11)13(16)10-3-7-12(15)8-4-10/h1-8H
</t>
  </si>
  <si>
    <t>Cyproconazole</t>
  </si>
  <si>
    <t>DTXSID0032601</t>
  </si>
  <si>
    <t>DTXCID8012601</t>
  </si>
  <si>
    <t>94361-06-5</t>
  </si>
  <si>
    <t>UFNOUKDBUJZYDE-UHFFFAOYSA-N</t>
  </si>
  <si>
    <t>2-(4-Chlorophenyl)-3-cyclopropyl-1-(1H-1,2,4-triazol-1-yl)butan-2-ol</t>
  </si>
  <si>
    <t>CC(C1CC1)C(O)(CN1C=NC=N1)C1=CC=C(Cl)C=C1</t>
  </si>
  <si>
    <t xml:space="preserve">InChI=1/C15H18ClN3O/c1-11(12-2-3-12)15(20,8-19-10-17-9-18-19)13-4-6-14(16)7-5-13/h4-7,9-12,20H,2-3,8H2,1H3
</t>
  </si>
  <si>
    <t>2,4,5-Trichloro-p-terphenyl</t>
  </si>
  <si>
    <t>Imibenconazole-desbenzyl</t>
  </si>
  <si>
    <t>DTXSID501016613</t>
  </si>
  <si>
    <t>DTXCID801474806</t>
  </si>
  <si>
    <t>154221-27-9</t>
  </si>
  <si>
    <t>SUABSSUUOLEOOZ-UHFFFAOYSA-N</t>
  </si>
  <si>
    <t>N-(2,4-Dichlorophenyl)-2-(4H-1,2,4-triazol-4-yl)acetamide</t>
  </si>
  <si>
    <t>ClC1=CC(Cl)=C(NC(=O)CN2C=NN=C2)C=C1</t>
  </si>
  <si>
    <t xml:space="preserve">InChI=1S/C10H8Cl2N4O/c11-7-1-2-9(8(12)3-7)15-10(17)4-16-5-13-14-6-16/h1-3,5-6H,4H2,(H,15,17)
</t>
  </si>
  <si>
    <t>Dimethylvinphos(E)</t>
  </si>
  <si>
    <t>Flurenol-butyl ester</t>
  </si>
  <si>
    <t>DTXSID5041986</t>
  </si>
  <si>
    <t>Flurenol-butyl</t>
  </si>
  <si>
    <t>DTXCID3021986</t>
  </si>
  <si>
    <t>2314-09-2</t>
  </si>
  <si>
    <t>PSGPXWYGJGGEEG-UHFFFAOYSA-N</t>
  </si>
  <si>
    <t>Butyl 9-hydroxy-9H-fluorene-9-carboxylate</t>
  </si>
  <si>
    <t>CCCCOC(=O)C1(O)C2=C(C=CC=C2)C2=C1C=CC=C2</t>
  </si>
  <si>
    <t xml:space="preserve">InChI=1S/C18H18O3/c1-2-3-12-21-17(19)18(20)15-10-6-4-8-13(15)14-9-5-7-11-16(14)18/h4-11,20H,2-3,12H2,1H3
</t>
  </si>
  <si>
    <t>Indoxacarb and Dioxacarb decomposition product [Phenol, 2-(1,3-dioxolan-2-yl)-]</t>
  </si>
  <si>
    <t>PBDE 1</t>
  </si>
  <si>
    <t>benz[j]and[e]aceanthrylene</t>
  </si>
  <si>
    <t>2,4,5-Tribromoanisole</t>
  </si>
  <si>
    <t>2'-Hydroxy-4-monobromodiphenyl ether</t>
  </si>
  <si>
    <t>2'-Hydroxy-2,4,4'-tribromodiphenyl ether</t>
  </si>
  <si>
    <t>2'-Methoxy-2,4,4'-tribromodiphenyl ether</t>
  </si>
  <si>
    <t>3-Methoxy-2,2',4,4',6-pentabromodiphenyl ether</t>
  </si>
  <si>
    <t>PBDE  89</t>
  </si>
  <si>
    <t>PBDE  127</t>
  </si>
  <si>
    <t>PBDE  128</t>
  </si>
  <si>
    <t>PBDE  142</t>
  </si>
  <si>
    <t>PBDE  144</t>
  </si>
  <si>
    <t>PBDE  160</t>
  </si>
  <si>
    <t>PBDE  185</t>
  </si>
  <si>
    <t>1,2,8,9-Tetrachlorodibenzo-p-dioxin</t>
  </si>
  <si>
    <t>DTXSID40904159</t>
  </si>
  <si>
    <t>1,2,8,9-tetrachlorodibenzo-p-dioxin</t>
  </si>
  <si>
    <t>DTXCID9029980</t>
  </si>
  <si>
    <t>62470-54-6</t>
  </si>
  <si>
    <t>WELWFAGPAZKSBG-UHFFFAOYSA-N</t>
  </si>
  <si>
    <t>1,2,8,9-Tetrachlorooxanthrene</t>
  </si>
  <si>
    <t>ClC1=C(Cl)C2=C(OC3=C(O2)C(Cl)=C(Cl)C=C3)C=C1</t>
  </si>
  <si>
    <t xml:space="preserve">InChI=1S/C12H4Cl4O2/c13-5-1-3-7-11(9(5)15)18-12-8(17-7)4-2-6(14)10(12)16/h1-4H
</t>
  </si>
  <si>
    <t>1,3,7,9-Tetrachlorodibenzo-p-dioxin</t>
  </si>
  <si>
    <t>DTXSID3074070</t>
  </si>
  <si>
    <t>DTXCID4043355</t>
  </si>
  <si>
    <t>62470-53-5</t>
  </si>
  <si>
    <t>JMGYHLJVDHUACM-UHFFFAOYSA-N</t>
  </si>
  <si>
    <t>1,3,7,9-Tetrachlorooxanthrene</t>
  </si>
  <si>
    <t>ClC1=CC2=C(OC3=C(Cl)C=C(Cl)C=C3O2)C(Cl)=C1</t>
  </si>
  <si>
    <t xml:space="preserve">InChI=1S/C12H4Cl4O2/c13-5-1-7(15)11-9(3-5)17-10-4-6(14)2-8(16)12(10)18-11/h1-4H
</t>
  </si>
  <si>
    <t>2,5-Dichlorophenyl-4-nitrophenyl ether</t>
  </si>
  <si>
    <t>1,4-Dioxino(2,3,b,5,6,b')dipyridine</t>
  </si>
  <si>
    <t>2,3-Dichlorophenyl-4-nitrophenyl ether</t>
  </si>
  <si>
    <t>bisphenol E</t>
  </si>
  <si>
    <t>DTXSID3047891</t>
  </si>
  <si>
    <t>Bisphenol E</t>
  </si>
  <si>
    <t>DTXCID9027867</t>
  </si>
  <si>
    <t>2081-08-5</t>
  </si>
  <si>
    <t>HCNHNBLSNVSJTJ-UHFFFAOYSA-N</t>
  </si>
  <si>
    <t>4,4'-(Ethane-1,1-diyl)diphenol</t>
  </si>
  <si>
    <t>CC(C1=CC=C(O)C=C1)C1=CC=C(O)C=C1</t>
  </si>
  <si>
    <t xml:space="preserve">InChI=1S/C14H14O2/c1-10(11-2-6-13(15)7-3-11)12-4-8-14(16)9-5-12/h2-10,15-16H,1H3
</t>
  </si>
  <si>
    <t>SEARCHED_CHEMICAL</t>
  </si>
  <si>
    <t>IDENTIFIER</t>
  </si>
  <si>
    <t>PC-CODES</t>
  </si>
  <si>
    <t>N-(1,1,2,2-Tetrachloroethylthio)-Δ4-tetrahydrophthalimide|3a,4,7,7a-Tetrahydro-2-[(1,1,2,2-tetrachloroethyl)thio]-1H-isoindole-1,3(2H)-dione|Santar SM|(tetrachloroethylthio)tetrahydrophthalimide|Kenofol|3a,4,7,7a-Tetrahydro-2-((1,1,2,2-tetrachloroethyl)thio)-1H-isoindole-1,3(2H)-dione|N-[(1,1,2,2-Tetrachloroethyl)thio]cyclohex-4-ene-1,2-dicarboximide|1,2,3,6-tetrahydro-N-(1,1,2,2-tetrachloroethylthio)phthalimide|N-[(1,1,2,2-tetrachloroethyl)sulfenyl]-4-cyclohexene-1,2-dicarboximide|30017-05-1|Difolatan|Sulpheimide|N-(Tetrachloroethylthio)tetrahydrophthalimide|Ortho Difolatan 4 Flowable|N-(1,1,2,2-tetrachloroethylthio)-Delta(4)-tetrahydrophthalimide|Merpafol|Alfloc 7020|Ortho Difolatan 80W|N-((1,1,2,2-Tetrachloroethyl)sulfenyl)-cis-4-cyclohexene-1,2-dicarboximide|N-(1,1,2,2-Tetrachloraethylthio)-cyclohex-4-en-1,4-diacarboximid|Captafol|N-1,1,2,2-tetrachloroethylmercapto-4-cyclohexene-1,2-carboximide|N-(1,1,2,2-Tetrachloroethylthio)cyclohex-4-ene-1,2-dicarboximide|N-(1,1,2,2-Tetrachloroethylthio)-4-cyclohexene-1,2-dicarboximide|Sanspor|Alfloc 7046|2-[(1,1,2,2-Tetrachloroethyl)sulfanyl]-3a,4,7,7a-tetrahydro-1H-isoindole-1,3(2H)-dione|UNII-D88BWD4H64|N-(1,1,2,2-Tetrachloroethylthio)-delta4-tetrahydrophthalimide|Difolatan 4F1|3a,4,7,7a-Tetrahydro-N-(1,1,2,2-tetrachloroethanesulphenyl)phthalimide|61913-12-0|Proxel EF|Arborseal|Captaspor|Tetrachloroethylthiotetrahydrophthalimide|Difolatan 80W|4-Cyclohexene-1,2-dicarboximide, N-[(1,1,2,2-tetrachloroethyl)thio]-|4-Cyclohexene-1,2-dicarboximide, N-((1,1,2,2-tetrachloroethyl)thio)-|Difolatan BOW|Terrazol|Difolatan 4F|3a,4,7,7a-tetrahydro-2-[(1,1,2,2-tetrachloroethyl)thio]-1H-isoindole-1,3(2H)-dione|3a,4,7,7a-tetrahydro-N-(1,1,2,2-tetrachloroethanesulphenyl)phthalimide|Difosan|Sulfonimide|CAPTAFOL|captafol|N-(1,1,2,2-Tetrachloraethylthio)-tetrahydrophthalamid|2425-06-1|EINECS 219-363-3|1H-Isoindole-1,3(2H)-dione, 3a,4,7,7a-tetrahydro-2-[(1,1,2,2-tetrachloroethyl)thio]-|N-(1,1,2,2-Tetrachloroethylthio)-4-cyclohexene-1,2-dicarboxyimide|N-1,1,2,2-Tetrachloroethylmercapto-4-cyclohexene-1,2-dicarboximide</t>
  </si>
  <si>
    <t>PC-081701</t>
  </si>
  <si>
    <t>chloropropylate|Chlorpropylat|Chlormite|Propyl p,p'-dichlorobenzilate|Isopropyl-4,4'-dichlorobenzilate|Caswell No. 511B|Chloropropylate|Benzeneacetic acid, 4-chloro-alpha-(4-chlorophenyl)-alpha-hydroxy-1-methylethyl ester|Propan-2-yl bis(4-chlorophenyl)(hydroxy)acetate|Isopropylester kyseliny 4,4'-dichlorbenzilove|Acaralate|Gesakur|UNII-GI03ROM7HQ|ISOPROPYL-4,4'-DICHLOROBENZILATE|Rospine|Isopropyl 4,4'-dichlorobenzilate|Chlorpropylate|1-Methylethyl 4-chloro-alpha-(4-chlorophenyl)-alpha-hydroxybenzeneacetate|EINECS 227-421-4|Benzeneacetic acid, 4-chloro-alpha-(4-chlorophenyl)-alpha-hydroxy-, 1-methylethyl ester|4-Chloro-alpha-(4-chlorophenyl)-alpha-hydroxybenzeneacetic acid 1-methylethyl ester|5836-10-2|EPA Pesticide Chemical Code 026801|Geigy 24163|Isopropyl 2-(4,4'-dichlorophenyl)-2-hydroxyacetate|BRN 2757308|4-10-00-01276</t>
  </si>
  <si>
    <t>PC-026801</t>
  </si>
  <si>
    <t>2497-06-5|DISULFOTON SULFONE|O,O-Diethyl S-(2-ethsulfonylethyl) thiothionophosphate|Phosphorodithioic acid, O,O-diethyl S-[2-(ethylsulfonyl)ethyl] ester|O,O-Diethyl S-(2-ethsulfonylethyl) phosphorodithioate|BRN 1713538|O,O-Diethyl-S-(2-ethylsulfonylethyl)phosphorodithioate|O,O-Diethyl S-(2-ethylsulfonylethyl)thionophosphate|Disulfoton sulfone|Ethanethiol, 2-(ethylsulfonyl)-, S-ester with O,O-diethyl phosphorodithioate|Phosphorodithioic acid, O,O-diethyl S-(2-(ethylsulfonyl)ethyl) ester|Disyston sulfone|S-[2-(Ethanesulfonyl)ethyl] O,O-diethyl phosphorodithioate|Phosphorodithioic acid, O,O-Diethyl S-[2-(ethylsulfonyl)ethyl]ester</t>
  </si>
  <si>
    <t>PC-340201</t>
  </si>
  <si>
    <t>UNII-82ZK83O33Y|BRN 2134652|Chrysene, 6-nitro-|6-Nitrochrysene|NSC 407609|3-05-00-02383|7496-02-8</t>
  </si>
  <si>
    <t>Caswell No. 329|3',4'-Dichloro-2-methacrylanilide|3,4-Dichloranilid kyseliny methakrylove|2164-09-2|3',4'-Dichloro-2-methylacrylanilide|N-(3,4-Dichlorophenyl)-2-methyl-2-propenamide|Chloranocryl|chloranocryl|UNII-Z411Q69NZW|EPA Pesticide Chemical Code 032601|N-(3,4-Dichlorophenyl)-2-methylprop-2-enamide|Niagara 4556|alpha-Methylacrylic acid, 3,4-dichloroanilide|N-(3,4-Dichlorophenyl)methacrylamide|2-Propenamide, N-(3,4-dichlorophenyl)-2-methyl-|BRN 2806300|Methacrylic acid 3,4-dichloroanilide|Dicryl|3,4'-Dichloro-2-methylacrylanilide</t>
  </si>
  <si>
    <t>PC-032601</t>
  </si>
  <si>
    <t>Montecatini L-561|Bayer 18510|Acetic acid, mercaptophenyl-, ethyl ester O,O-dimethyl phosphorodithioate|S-alpha-Ethoxycarbonylbenzyl dimethyl phosphorothiolothionate|75513-84-7|O,O-Dimethyl-S-(phenylacetic acid ethyl ester) phosphorodithioate|EINECS 219-997-0|Papthion|phenthoate|S-[alpha-(Ethoxycarbonyl)benzyl] O,O-dimethyl phosphorodithioate|Bayer 18,510|Phenthoate|Dhanusan 50|Phenthoat|Dimephenthoate|2597-03-7|Phenthoate 50 EC|Dimephenthioate|Elsan ULV|alpha-[(Dimethoxyphosphinothioyl)thio] benzeneacetic acid, Ethyl ester|Ethyl mercaptophenylacetate-O,O-dimethylphosphorodithioate|O,O-Dimethyl S-α-ethoxycarbonylbenzyl phosphorodithioate|Fenthoate|S-alpha-Ethoxycarbonylbenzyl O,O-dimethyl phosphorodithioate|Ethyl [(dimethoxyphosphorothioyl)sulfanyl](phenyl)acetate|Ethyl mercaptophenylacetate O,O-dimethyl phosphorodithioate|Dimefenthoat|61361-99-7|Ethyl 2-dimethoxyphosphinothioylthio(phenyl)acetate|Benzeneacetic acid, alpha-[(dimethoxyphosphinothioyl)thio]-, ethyl ester|Caswell No. 427B|Benzeneacetic acid, α-[(dimethoxyphosphinothioyl)thio]-, ethyl ester|Phendal|Ethyl ester of O,O-dimethyldithiophosphoryl alpha-phenyl acetate|Ethyl 2-[(dimethoxyphosphinothioyl)thio]-2-phenylacetate|S-[α-(ethoxycarbonyl)benzyl] O,O-dimethyl phosphorodithioate|Ethyl 2-dimethoxythiophosphorylthio-2-phenylacetate|Ethyl mercaptophenylacetate S-ester with O,O-dimethyl phosphorodithioate|Acetic acid, mercaptophenyl-, ethyl ester, S-ester with O,O-dimethyl phosphorodithioate|UNII-J96Q7F091K|O,O-Dimethyl-S-(alpha-(carboethoxy)benzyl)phosphorodithioate|S-α-Ethoxycarbonylbenzyl dimethyl phosphorothiolothionate|O,O-Dimethyl S-(1-carboethoxybenzyl) dithiophosphate|ENT 27386GC|Ethyl alpha-((dimethoxyphosphenothioyl)thio)benzeneacetate|O,O-Dimethyl-S-(1-ethoxycarbonyl-1-phenyl) methylphosphorodithioate|O,O-Dimethyl S-alpha-Ethoxycarbonylbenzyl phosphorodithioate|(Dimethyl S-(phenylethoxycarbonylmethyl)phosphorothiolothionate)|O,O-Dimethyl S-(alpha-ethoxycarbonylbenzyl) thiophosphate|Ethyl O,O-dimethylphosphorodithioyl phenyl acetate|Cidemul|Tsidial|O,O-Dimethyl S-(phenyl)(carboethoxy)methyl phosphorodithioate|Acetic acid, (O,O-dimethyldithiophosphorylphenyl)-, ethyl ester|S-α-(Ethoxycarbonyl)benzyl O,O-dimethyl phosphodithioate|EPA Pesticide Chemical Code 104901|FENTHOATE|fentoato|Cidial ULV|Ethyl O,O-dimethylphosphorodithioylphenylacetate|Montecatini L 561</t>
  </si>
  <si>
    <t>PC-104901</t>
  </si>
  <si>
    <t>1,3-Dithiolo[4,5-b]quinoxalin-2-one, 6-methyl-|Morestane|Chinomethionate|Caswell No. 576|6-Methyldithiolo(4,5-b)quinoxalin-2-one|6-Methyl-quinoxaline-2,3-dithiolcyclocarbonate|6-Methyl-2,3-quinoxalinedithiol cyclic S,S-dithiocarbonate|BRN 0526833|Bayer 36205|6-methyl-2,3-quinoxalinedithiol cyclic dithiocarbonate|Daisonet XL 21|NSC 379587|S,S-(6-methylquinoxaline-2,3-diyl) dithiocarbonate|6-Methyl-2H-[1,3]dithiolo[4,5-b]quinoxalin-2-one|Cetactaelate|Oxythioquinox|6-Methyl-chinoxalin-2,3-dithiol-cyclo-carbonat|EPA Pesticide Chemical Code 054101|OXYTHIOQUINOX|Dithiolo(4,5-b)quinoxalin-2-one, 6-methyl-|UNII-888OQA249R|Forstan|6-Methyl-2-oxo-1,3-dithiolo(4,5-b)quinoxaline|Carbonic acid, dithio-, cyclic S,S-ester with 6-methyl-2,3-quinoxalinedithiol|2439-01-2|EINECS 219-455-3|Cyclic S,S-(6-methyl-2,3-quinoxalinediyl) dithiocarbonate|6-Methyl-1,3-dithiolo(4,5-b)quinoxalin-2-one|Chinomethionat|Morestan|Quinomethionate|6-Methyl-2,3-quinoxaline dithiocarbonate|6-Methyl-1,3-dithiolo[4,5-b]quinoxalin-2-one|6-Methyl-2-oxo-1,3-dithio(4,5-b)quinoxaline|Bayer ss2074</t>
  </si>
  <si>
    <t>PC-054101</t>
  </si>
  <si>
    <t>3,5-Xylenol, 4-(methylsulfinyl)-, methylcarbamate|BAY 37344 sulfoxide|3,5-Dimethyl-4-(methylsulfinyl)phenyl methylcarbamate|Methiocarb sulfoxide (M01)|Mesurol sulfoxide|Methiocarb sulfoxide|3,5-Dimethyl-4-(methylsulfinyl)phenol 1-(N-methylcarbamate)|Carbamic acid, methyl-, 3,5-dimethyl-4-(methylsulfinyl)phenyl ester|methiocarb-sulfoxide|Phenol, 3,5-dimethyl-4-(methylsulfinyl)-, methylcarbamate|BRN 2130137|2635-10-1|Bayer 41791|Carbamic acid, methyl-, 4-(methylsulfinyl)-3,5-xylyl ester|4-(Methanesulfinyl)-3,5-dimethylphenyl methylcarbamate|4-(Methylsulfinyl)-3,5-xylyl methylcarbamate|Phenol, 3,​5-​dimethyl-​4-​(methylsulfinyl)​-​, 1-​(N-​methylcarbamate)</t>
  </si>
  <si>
    <t>PC-600598</t>
  </si>
  <si>
    <t>3-Cyclohexyl-1,5,6,7-tetrahydrocyclopentapyrimidine-2,4(3H)-dione|Elbatan|BRN 0751331|Experimental herbicide 634|6,7-Dihydro-3-cyclohexyl-1H-cyclopentapyrimidine-2,4(3H,5H)-dione|Venzar|3-cyclohexyl-5,6-trimethyleneuracil|Du Pont 634|EINECS 218-499-0|5-Cyclohexyl-5,7-diaza-2,3,4,5,6,7-hexahydroindene-4,6-dione|3-Cyclohexyl-6,7-dihydro-1H-cyclopentapyrimidine-2,4(3H,5H)-dione|3-Cyclohexyl-5,6-trimethylenuracil|91867-45-7|Adol 80WP|50642-91-6|3-Cyclohexyl-5,6-trimethyleneuracil|Adol (pesticide)|Adol|66113-95-9|3-cyclohexyl-6,7-dihydro-1H-cyclopentapyrimidine-2,4-(3H,5H)-dione|Hexilure|1H-Cyclopentapyrimidine-2,4(3H,5H)-dione, 3-cyclohexyl-6,7-dihydro-|UNII-X58DK6S8KX|Herbicide 634|Lenacil 80WP|LENACIL|EPA Pesticide Chemical Code 525200|Lenacil|EC No.: 218-499-0|Lenacile|2164-08-1|lenacil|Hexylure|3-Cyclohexyl-6,7-dihydro-1H-cyclopenta[d]pyrimidine-2,4(3H,5H)-dione|1H-Cyclopenta[d]pyrimidine-2,4(3H,5H)-dione, 3-cyclohexyl-6,7-dihydro-|Uracil 634|Buracyl|Caswell No. 525A</t>
  </si>
  <si>
    <t>PC-525200</t>
  </si>
  <si>
    <t>Opal 7.5 EC|1H-1,2,4-Triazole, 1-[[(2R,3S)-3-(2-chlorophenyl)-2-(4-fluorophenyl)-2-oxiranyl]methyl]-, rel-|133855-98-8|Opal|106325-08-0|(2RS,35R)-1-(3-(2-Chlorophenyl)-2,3-epoxy-2-(4-fluorophenyl)propyl)-1H-1,2,4-triazole|1H-1,2,4-Triazole, 1-[[(2S,3R)-3-(2-chlorophenyl)-2-(4-fluorophenyl)oxiranyl]methyl]-, rel-|1-{[(2R,3S)-3-(2-chlorophenyl)-2-(4-fluorophenyl)oxiran-2-yl]methyl}-1H-1,2,4-triazole|Epoxiconazol|rel-1-[[(2R,3S)-3-(2-chlorophenyl)-2-(4-fluorophenyl)-2-oxiranyl]methyl]-1H-1,2,4-triazole|BAS 480F|Epoxiconazole|Opus|1-{[(2S,3R)-3-(2-Chlorophenyl)-2-(4-fluorophenyl)oxiran-2-yl]methyl}-1H-1,2,4-triazole|1-((3-(2-Chlorophenyl)-2-(4-fluorophenyl)oxiranyl)methyl)-1H-1,2,4-triazole cis-(+-)-|1H-1,2,4-Triazole, 1-[[(2S,3R)-3-(2-chlorophenyl)-2-(4-fluorophenyl)oxiranyl]methyl]-|1H-1,2,4-Triazole, 1-[[3-(2-chlorophenyl)-2-(4-fluorophenyl)oxiranyl]methyl]-, cis-(+/-)-|1H-1,2,4-Triazole, 1-[[(2R,3S)-3-(2-chlorophenyl)-2-(4-fluorophenyl)oxiranyl]methyl]-, rel-|Opal (fungicide)|205862-63-1</t>
  </si>
  <si>
    <t>PC-123909</t>
  </si>
  <si>
    <t>1H-1,2,4-Triazole, 1-[[3-(2-chlorophenyl)-2-(4-fluorophenyl)oxiranyl]methyl]-|Epoxiconazole|603-915-9|1-[[3-(2-Chlorophenyl)-2-(4-fluorophenyl)-2-oxiranyl]methyl]-1H-1,2,4-triazole|135319-73-2|EC No.: 603-915-9|1H-1,2,4-Triazole, 1-[[3-(2-chlorophenyl)-2-(4-fluorophenyl)-2-oxiranyl]methyl]-|476648-89-2|1-{[3-(2-Chlorophenyl)-2-(4-fluorophenyl)oxiran-2-yl]methyl}-1H-1,2,4-triazole</t>
  </si>
  <si>
    <t>Caswell No. 652C|(2-(4-Phenoxyphenoxy)ethyl)carbamic acid ethyl ester|Ethyl [2-(4-phenoxyphenoxy)ethyl]carbamate|N-(2-(p-phenoxyphenoxy)ethyl)carbamic acid|EINECS 276-696-7|O-ethyl N-[2-(4-phenoxyphenoxy)ethyl]carbamate|79127-80-3|FENOXYCARB|72490-01-8|UNII-JEN0LSV1G9|Ethyl(2-(p-phenoxyphenoxy)ethyl)carbamate|EPA Pesticide Chemical Code 125301|ethyl (2-(p-phenoxyphenoxy)ethyl)carbamate|[2-(4-Phenoxyphenoxy)ethyl]carbamic acid ethyl ester|Carbamic acid, N-[2-(4-phenoxyphenoxy)ethyl]-, ethyl ester|Insegar|Ethyl (2-(p-phenoxy)ethyl)carbamate|Fenoxycarb|Varikill</t>
  </si>
  <si>
    <t>PC-125301</t>
  </si>
  <si>
    <t>α-cyano-3-phenoxybenzyl 2,2,3,3-tetramethylcyclopropanecarboxylate|2,2,3,3-tetrametilciclopropanocarboxilato de α-ciano-3-fenoxibencilo|α-Cyan-3-phenoxybenzyl-2,2,3,3-tetramethylcyclopropancarboxylat|Kilumal|(RS)-Cyano(3-phenoxyphenyl)methyl 2,2,3,3-tetrametkhylcyclopropanecarboxylate|Miothrin|64257-84-7|CYCLOPROPANECARBOXYLATE, 3-PHENOXYBENZYL- 2,2,3,3-TETRAMETHYL-, CYANO, (RS)-|Danitol 10EC|Danimen|39515-41-8|α-Cyano-3-phenoxybenzyl-2,2,3,3-tetramethylcyclopropanecarboxylate|EPA Pesticide Chemical Code 127901|Cyclopropanecarboxylic acid, 2,2,3,3-tetramethyl-, cyano(3-phenoxyphenyl)methyl ester|FENPROPATHRIN|Danitol fiori|fenpropathrin|Danitol|Caswell No. 273H|EINECS 254-485-0|2,2,3,3-Tetramethylcyclopropanecarboxylic acid cyano(3-phenoxyphenyl)methyl ester|(.+-.)-Fenpropathrin|Cyano-3-phenoxybenzyl-2,2,3,3-tetramethylcyclopropanecarboxylate|Meiothrin|2,2,3,3-tetramethylcyclopropanecarboxylate de α-cyano-3-phenoxybenzyle|Fenpropanate|Cyano(3-phenoxyphenyl)methyl 2,2,3,3-tetramethylcyclopropane-1-carboxylate|Fenpropathrin|Meothrin|Ortho Danitol|(+-)-Fenpropathrin</t>
  </si>
  <si>
    <t>PC-127901</t>
  </si>
  <si>
    <t>119611-00-6|1135441-06-3|4-(4-Chlorophenyl)-2-phenyl-2-(1H-1,2,4-triazol-1-ylmethyl)butyronitrile|114369-43-6|alpha-[2-(4-Chlorophenyl)ethyl]-alpha-phenyl-1H-1,2,4-triazole-1-propanenitrile|fenbuconazole|Fenbuconazole|1H-1,2,4-Triazole-1-propanenitrile, alpha-[2-(4-chlorophenyl)ethyl]-alpha-phenyl-|4-(4-Chlorophenyl)-2-phenyl-2-[(1H-1,2,4-triazol-1-yl)methyl]butanenitrile|205862-65-3|alpha-(2-(4-Chlorophenyl)ethyl)-alpha-phenyl-1H-1,2,4-triazole-1-propanenitrile</t>
  </si>
  <si>
    <t>PC-129011</t>
  </si>
  <si>
    <t>Caswell No. 849C|Phosphorodithioic acid, O,O-Diethyl S-[(ethylsulfinyl)methyl] ester|Phosphorodithioic acid, O,O-diethyl S-[(ethylsulfinyl)methyl] ester|2588-03-6|O,O-Diethyl-S-ethylthionylmethylphosphorodithioate|O,O-Diethyl-S-ethylthionylmethyl thionophosphate|Phosphorodithioic acid, O,O-diethyl S-((ethylsulfinyl)methyl) ester|Thimet sulfoxide|S-[(Ethanesulfinyl)methyl] O,O-diethyl phosphorodithioate|O,O-Diethyl S-eththionylmethyl thiothionophosphate|BRN 2504794|Phorate sulfoxide|PHORATE SULFOXIDE</t>
  </si>
  <si>
    <t>PC-340203</t>
  </si>
  <si>
    <t>2588-04-7|O,O-Diethyl S-ethsulfonylmethyl thiothionophosphate|Thimet sulfone|Phorate sulfone|PHORATE SULFONE|Methanethiol, (ethylsulfonyl)-, S-ester with O,O-diethyl phosphorodithioate|O,O-Diethyl S-[(ethylsulfonyl)methyl] ester phosphorodithioic acid|O,O-Diethyl-S-ethylsulfonyl methylphosphorodithioate|BRN 2506019|Caswell No. 849B|O,O-Diethyl S-ethylsulfonylmethyl thionophosphate|S-[(Ethanesulfonyl)methyl] O,O-diethyl phosphorodithioate|Phosphorodithioic acid, O,O-diethyl S-[(ethylsulfonyl)methyl] ester</t>
  </si>
  <si>
    <t>PC-340202</t>
  </si>
  <si>
    <t>Benzene, 4-chloro-1-(2,4-dichlorophenoxy)-2-methoxy-|Triclosan methyl|Methyl Ether Triclosan|2,4-Dichloro-1-(4-chloro-2-methoxyphenoxy)benzene|Methyl triclosan|UNII-5174UR1DP5|4640-01-1|Benzene, 2,4-dichloro-1-(4-chloro-2-methoxyphenoxy)-|Triclosan methyl ether|Triclosan-methyl</t>
  </si>
  <si>
    <t>4,4'-Dibromobenzophenone|p,p'-Dibromobenzophenone|Bis(4-bromophenyl)methanone|3988-03-2|Bis(p-bromophenyl) ketone|NSC 86518|EINECS 223-632-0|O=C(c1ccc(Br)cc1)c1ccc(Br)cc1</t>
  </si>
  <si>
    <t>EC No.: 619-020-1|1H-​1,​2,​4-​Triazole-​1-​ethanol, alpha-​(4-​chlorophenyl)​-​alpha-​(1-​cyclopropylethyl)​-|SAN619|1H-1,2,4-Triazole-1-ethanol, alpha-(4-chlorophenyl)-alpha-(1-cyclopropylethyl)-|alpha-(4-Chlorophenyl)-alpha-(1-cyclopropylethyl)-1H-1,2,4-triazole-1-ethanol|Cyproconazole|UNII-622B9C3E6T|alpha-(4-Chlorophenyl)-alpha-(1-cyclopropylethyl)-1H-1,2,4-triazol-1-ethanol|619-020-1|(2RS,3RS;2SR,3SR)-2-(4-chlorophenyl)-3-cyclopropyl-1-(1H-1,2,4- triazol-1-yl)butan-2-ol|94361-06-5|113096-99-4|alpha-(4-chlorophenyl)-alpha-(1-cyclopropyl-ethyl)-1H-1,2,4-triazole-1- ethanol|2-(4-Chlorophenyl)-3-cyclopropyl-1-(1H-1,2,4-triazol-1-yl)butan-2-ol|(2RS,3RS;2RS,3RS)-2-(Chlorophenyl)-3-cyclopropyl-1-(1H-1,2,4-triazol-1-yl)butan-2-ol|CGA 221949|SN 108266|cyproconazole|(2RS,3RS;2RS,3SR)-2-(4-chlorophenyl)-3-cyclopropyl-1-(1H-1,2,4-triazol-1-yl)butan-2-ol|Alto 240EC|Atemi C|1135441-02-9|Cyproconazol|SAN 619F|Caddy</t>
  </si>
  <si>
    <t>PC-128993</t>
  </si>
  <si>
    <t>N-(2,4-Dichlorophenyl)-2-(4H-1,2,4-triazol-4-yl)acetamide|Imibenconazole-desbenzyl|154221-27-9|4H-1,2,4-Triazole-4-acetamide, N-(2,4-dichlorophenyl)-</t>
  </si>
  <si>
    <t>Caswell No. 130B|EPA Pesticide Chemical Code 230300|Flurenol-butyl|Morphactin IT 3233|2314-09-2|Butyl 9-hydroxyfluorene-9-carboxylate|Butyl 9-hydroxy-9H-fluorene-9-carboxylate|EINECS 219-011-9|Butyl morphactin|9-Hydroxy-9H-fluorene-9-carboxylic acid, Butyl ester|Flurenol butyl ester|Flurenol-butyl ester|Fluorene-9-carboxylic acid, 9-hydroxy-, butyl ester|Butyl flurenol|9H-Fluorene-9-carboxylic acid, 9-hydroxy-, butyl ester|Flurenol ester|Flurecol-butyl</t>
  </si>
  <si>
    <t>PC-230300</t>
  </si>
  <si>
    <t>1,2,8,9-Tetrachlorodibenzo-p-dioxin|1,2,8,9-TCDD|PCDD 41|Dibenzo[b,e][1,4]dioxin, 1,2,8,9-tetrachloro-|62470-54-6|1,2,8,9-tetrachlorodibenzo-p-dioxin|1,2,8,9-Tetrachlorooxanthrene|1,2,8,9-TETRACHLORODIBENZO-P-DIOXIN</t>
  </si>
  <si>
    <t>1,3,7,9-Tetrachlorodibenzo-p-dioxin|UNII-0F575L1CA4|1,3,7,9-Tetrachlorooxanthrene|1,3,7,9-Tetrachlorodibenzo[b,e][1,4]dioxin|62470-53-5|Dibenzo[b,e][1,4]dioxin, 1,3,7,9-tetrachloro-</t>
  </si>
  <si>
    <t>4,4'-Ethylidenebisphenol|1,1-Bis(4-hydroxyphenyl)ethane|Phenol, 4,4'-ethylidenebis-|2081-08-5|4,4'-(Ethane-1,1-diyl)diphenol|4,4'-Ethylidenediphenol|4,4'-(ethene-1,1-diyl)diphenol|Bisphenol E</t>
  </si>
  <si>
    <t>HAS_RELATIONSHIP_WITH</t>
  </si>
  <si>
    <t>RELATED_DTXSID</t>
  </si>
  <si>
    <t>RELATED_PREFERRED_NAME</t>
  </si>
  <si>
    <t>RELATED_CASRN</t>
  </si>
  <si>
    <t>Searched Chemical</t>
  </si>
  <si>
    <t>Predecessor: Component</t>
  </si>
  <si>
    <t>DTXSID20996759</t>
  </si>
  <si>
    <t>Triadimefon-captafol mixt.</t>
  </si>
  <si>
    <t>75308-84-8</t>
  </si>
  <si>
    <t>DTXSID801336509</t>
  </si>
  <si>
    <t>Polycyclic aromatic compounds (Toxics Release Category Class N530)</t>
  </si>
  <si>
    <t>NOCAS_1336509</t>
  </si>
  <si>
    <t>DTXSID101044101</t>
  </si>
  <si>
    <t>Zecton</t>
  </si>
  <si>
    <t>103780-82-1</t>
  </si>
  <si>
    <t>Transformation Parent</t>
  </si>
  <si>
    <t>DTXSID2023309</t>
  </si>
  <si>
    <t>Metoprolol</t>
  </si>
  <si>
    <t>51384-51-1</t>
  </si>
  <si>
    <t>DTXSID3032626</t>
  </si>
  <si>
    <t>Methiocarb</t>
  </si>
  <si>
    <t>2032-65-7</t>
  </si>
  <si>
    <t>Transformation Product</t>
  </si>
  <si>
    <t>DTXSID101027022</t>
  </si>
  <si>
    <t>3-Cyclohexyl-5-hydroxy-1,5,6,7-tetrahydrocyclopenta[d]pyrimidine-2,4-dione</t>
  </si>
  <si>
    <t>NOCAS_1027022</t>
  </si>
  <si>
    <t>DTXSID001027055</t>
  </si>
  <si>
    <t>3-Cyclohexyl-6,7-dihydro-1H-cyclopenta[d]pyrimidine-2,4,5-trione</t>
  </si>
  <si>
    <t>NOCAS_1027055</t>
  </si>
  <si>
    <t>DTXSID001027229</t>
  </si>
  <si>
    <t>2-Amino-5-hydroxycyclopentene-1-carboxylic acid  </t>
  </si>
  <si>
    <t>NOCAS_1027229</t>
  </si>
  <si>
    <t>DTXSID001027231</t>
  </si>
  <si>
    <t>[2-(Carbamoylcarbamoyl)cyclopenten-1-yl] hydrogen sulfate  </t>
  </si>
  <si>
    <t>NOCAS_1027231</t>
  </si>
  <si>
    <t>DTXSID301027054</t>
  </si>
  <si>
    <t> 3-(4-Oxocyclohexyl)-1,5,6,7-tetrahydrocyclopenta[d]pyrimidine-2,4-dione</t>
  </si>
  <si>
    <t>NOCAS_1027054</t>
  </si>
  <si>
    <t>DTXSID301027228</t>
  </si>
  <si>
    <t>2-(Carbamoylamino)-5-hydroxycyclopentene-1-carboxylic acid </t>
  </si>
  <si>
    <t>NOCAS_1027228</t>
  </si>
  <si>
    <t>DTXSID301027230</t>
  </si>
  <si>
    <t>(3-Cyclohexyl-2,4-dioxo-1,5,6,7-tetrahydrocyclopenta[d]pyrimidin-5-yl) hydrogen sulfate  </t>
  </si>
  <si>
    <t>NOCAS_1027230</t>
  </si>
  <si>
    <t>DTXSID601027053</t>
  </si>
  <si>
    <t>3-(4-Hydroxycyclohexyl)-1,5,6,7-tetrahydrocyclopenta[d]pyrimidine-2,4-dione</t>
  </si>
  <si>
    <t>NOCAS_1027053</t>
  </si>
  <si>
    <t>DTXSID601027227</t>
  </si>
  <si>
    <t>1-Cyclohexyl-2,4,6-trioxo-1,3-diazinane-5-carboxylic acid  </t>
  </si>
  <si>
    <t>NOCAS_1027227</t>
  </si>
  <si>
    <t>DTXSID701027018</t>
  </si>
  <si>
    <t>5-Hydroxy-1,5,6,7-tetrahydrocyclopenta[d]pyrimidine-2,4-dione</t>
  </si>
  <si>
    <t>NOCAS_1027018</t>
  </si>
  <si>
    <t>DTXSID701035601</t>
  </si>
  <si>
    <t>(2R,6S)-rel-4-[3-[4-(1,1-Dimethylethyl)phenyl]-2-methylpropyl]-2,6-dimethylmorpholine mixt. with rel-1-[[(2R,3S)-3-(2-chlorophenyl)-2-(4-fluorophenyl)-2-oxiranyl]methyl]-1H-1,2,4-triazole</t>
  </si>
  <si>
    <t>150106-77-7</t>
  </si>
  <si>
    <t>DTXSID801339591</t>
  </si>
  <si>
    <t>(alphaE)-alpha-(Methoxyimino)-2-[[[(E)-[1-[3-(trifluoromethyl)phenyl]ethylidene]amino]oxy]methyl]benzeneacetic acid methyl ester mixt. with rel-1-[[(2R,3S)-3-(2-chlorophenyl)-2-(4-fluorophenyl)oxiranyl]methyl]-1H-1,2,4-triazole</t>
  </si>
  <si>
    <t>880644-44-0</t>
  </si>
  <si>
    <t>DTXSID901339194</t>
  </si>
  <si>
    <t>rel-1-[[(2R,3S)-3-(2-Chlorophenyl)-2-(4-fluorophenyl)-2-oxiranyl]methyl]-1H-1,2,4-triazole mixt. with tridemorph</t>
  </si>
  <si>
    <t>181483-62-5</t>
  </si>
  <si>
    <t>DTXSID301025458</t>
  </si>
  <si>
    <t>Opponent</t>
  </si>
  <si>
    <t>1061618-81-2</t>
  </si>
  <si>
    <t>DTXSID301033708</t>
  </si>
  <si>
    <t>N-1H-Benzimidazol-2-yl-carbamic acid methyl ester mixt. with rel-1-[[(2R,3S)-3-(2-chlorophenyl)-2-(4-fluorophenyl)-2-oxiranyl]methyl]-1H-1,2,4-triazole</t>
  </si>
  <si>
    <t>228415-30-3</t>
  </si>
  <si>
    <t>DTXSID401033513</t>
  </si>
  <si>
    <t>Juwel TT 483</t>
  </si>
  <si>
    <t>242142-57-0</t>
  </si>
  <si>
    <t>DTXSID601033321</t>
  </si>
  <si>
    <t>N-[2-[[[1-(4-Chlorophenyl)-1H-pyrazol-3-yl]oxy]methyl]phenyl]-N-methoxycarbamic acid, methyl ester mixt. with rel-1-[[(2R,3S)-3-(2-chlorophenyl)-2-(4-fluorophenyl)-2-oxiranyl]methyl]-1H-1,2,4-triazole</t>
  </si>
  <si>
    <t>198697-58-4</t>
  </si>
  <si>
    <t>DTXSID701044266</t>
  </si>
  <si>
    <t>Boscalid-epoxiconazole mixt.</t>
  </si>
  <si>
    <t>228113-24-4</t>
  </si>
  <si>
    <t>DTXSID8074572</t>
  </si>
  <si>
    <t>3H-1,2,4-Triazol-3-one, 1,2-dihydro-</t>
  </si>
  <si>
    <t>930-33-6</t>
  </si>
  <si>
    <t>DTXSID00446601</t>
  </si>
  <si>
    <t>1-[(2Z)-3-(2-Chlorophenyl)-2-(4-fluorophenyl)prop-2-en-1-yl]-1H-1,2,4-triazole</t>
  </si>
  <si>
    <t>127296-24-6</t>
  </si>
  <si>
    <t>DTXSID601028249</t>
  </si>
  <si>
    <t>1-(2-Chlorophenyl)-2-(4-fluorophenyl)-3-(1,2,4-triazol-1-yl)propan-1-ol</t>
  </si>
  <si>
    <t>NOCAS_1028249</t>
  </si>
  <si>
    <t>DTXSID6027131</t>
  </si>
  <si>
    <t>1H-1,2,4-Triazole</t>
  </si>
  <si>
    <t>288-88-0</t>
  </si>
  <si>
    <t>DTXSID901028250</t>
  </si>
  <si>
    <t>1-(2-Chlorophenyl)-2-(4-fluorophenyl)-3-(1H-1,2,4-triazol-1-yl)propane-1,2-diol</t>
  </si>
  <si>
    <t>94147-39-4</t>
  </si>
  <si>
    <t>DTXSID90365231</t>
  </si>
  <si>
    <t>1,2,4-Triazole-1-acetic acid</t>
  </si>
  <si>
    <t>28711-29-7</t>
  </si>
  <si>
    <t>DTXSID9058288</t>
  </si>
  <si>
    <t>Triazole alanine (as metabolite of triazole compounds)</t>
  </si>
  <si>
    <t>114419-45-3</t>
  </si>
  <si>
    <t>DTXSID201033624</t>
  </si>
  <si>
    <t>Lufox</t>
  </si>
  <si>
    <t>552851-31-7</t>
  </si>
  <si>
    <t>DTXSID301028690</t>
  </si>
  <si>
    <t>2-hydroxyethyl N-[2-[4-(4-hydroxyphenoxy)phenoxy]ethyl]carbamate</t>
  </si>
  <si>
    <t>NOCAS_1028690</t>
  </si>
  <si>
    <t>DTXSID001028689</t>
  </si>
  <si>
    <t>Ethyl N-[2-(4-hydroxyphenoxy)ethyl]carbamate</t>
  </si>
  <si>
    <t>NOCAS_1028689</t>
  </si>
  <si>
    <t>DTXSID001028691</t>
  </si>
  <si>
    <t>2-[4-(4-Hydroxyphenoxy)phenoxy]acetic acid</t>
  </si>
  <si>
    <t>NOCAS_1028691</t>
  </si>
  <si>
    <t>DTXSID401028693</t>
  </si>
  <si>
    <t>4-[4-(2-Aminoethoxy)phenoxy]phenol</t>
  </si>
  <si>
    <t>NOCAS_1028693</t>
  </si>
  <si>
    <t>DTXSID701028692</t>
  </si>
  <si>
    <t>Ethyl N-[2-[4-(4-hydroxyphenoxy)phenoxy]ethyl]carbamate</t>
  </si>
  <si>
    <t>NOCAS_1028692</t>
  </si>
  <si>
    <t>DTXSID70933376</t>
  </si>
  <si>
    <t>Danirun</t>
  </si>
  <si>
    <t>148328-46-5</t>
  </si>
  <si>
    <t>Component</t>
  </si>
  <si>
    <t>DTXSID101338930</t>
  </si>
  <si>
    <t>(R)-Fenpropathrin</t>
  </si>
  <si>
    <t>67890-38-4</t>
  </si>
  <si>
    <t>DTXSID1038321</t>
  </si>
  <si>
    <t>3-Phenoxybenzoic acid</t>
  </si>
  <si>
    <t>3739-38-6</t>
  </si>
  <si>
    <t>DTXSID501044353</t>
  </si>
  <si>
    <t>1H-1,2,4-Triazole-1-propanenitrile, alpha-[2-(4-chlorophenyl)ethyl]-alpha-phenyl-, mixt. with 1-[[2-(2,4-dichlorophenyl)-4-propyl-1,3-dioxolan-2-yl]methyl]-1H-1,2,4- triazole</t>
  </si>
  <si>
    <t>166412-69-7</t>
  </si>
  <si>
    <t>DTXSID801044457</t>
  </si>
  <si>
    <t>EM 1503</t>
  </si>
  <si>
    <t>185419-26-5</t>
  </si>
  <si>
    <t>DTXSID201027794</t>
  </si>
  <si>
    <t>4-(4-Chlorophenyl)-4-oxo-2-phenyl-2-(1,2,4-triazol-1-ylmethyl)butanenitrile</t>
  </si>
  <si>
    <t>NOCAS_1027794</t>
  </si>
  <si>
    <t>DTXSID901027795</t>
  </si>
  <si>
    <t>5-(4-Chlorophenyl)-3-phenyl-3-(1,2,4-triazol-1-ylmethyl)oxolan-2-imine</t>
  </si>
  <si>
    <t>NOCAS_1027795</t>
  </si>
  <si>
    <t>DTXSID001027798</t>
  </si>
  <si>
    <t>(3R)-5-(4-Chlorophenyl)-3-phenyl-3-(1,2,4-triazol-1-ylmethyl)oxolan-2-one</t>
  </si>
  <si>
    <t>NOCAS_1027798</t>
  </si>
  <si>
    <t>DTXSID501027779</t>
  </si>
  <si>
    <t>4-(4-Chlorophenyl)-4-hydroxy-2-phenyl-2-(1,2,4-triazol-1-ylmethyl)butanenitrile</t>
  </si>
  <si>
    <t>NOCAS_1027779</t>
  </si>
  <si>
    <t>DTXSID001035317</t>
  </si>
  <si>
    <t>Cyproconazole-trifloxystrobin mixt.</t>
  </si>
  <si>
    <t>242140-41-6</t>
  </si>
  <si>
    <t>DTXSID301034013</t>
  </si>
  <si>
    <t>(alphaE)-alpha-(Methoxymethylene)-2-[[[6-(trifluoromethyl)-2-pyridinyl]oxy]methyl]benzeneacetic acid methyl ester mixt. with alpha-(4-chlorophenyl)-alpha-(1-cyclopropylethyl)-1H-1,2,4-triazole-1-ethanol</t>
  </si>
  <si>
    <t>402928-27-2</t>
  </si>
  <si>
    <t>DTXSID401339406</t>
  </si>
  <si>
    <t>alpha-(4-Chlorophenyl)-alpha-(1-cyclopropylethyl)-1H-1,2,4-triazole-1-ethanol mixt. with 5,7-dichloro-4-(4-fluorophenoxy)quinoline</t>
  </si>
  <si>
    <t>244054-78-2</t>
  </si>
  <si>
    <t>DTXSID401339620</t>
  </si>
  <si>
    <t>alpha-(4-Chlorophenyl)-alpha-(1-cyclopropylethyl)-1H-1,2,4-triazole-1-ethanol mixt. with 3-[(2-chloro-5-thiazolyl)methyl]tetrahydro-5-methyl-N-nitro-4H-1,3,5-oxadiazin-4-imine</t>
  </si>
  <si>
    <t>893403-14-0</t>
  </si>
  <si>
    <t>DTXSID601033319</t>
  </si>
  <si>
    <t>alpha-(4-Chlorophenyl)-alpha-(1-cyclopropylethyl)-1H-1,2,4-triazole-1-ethanol mixt. with 1-[[2-(2,4-dichlorophenyl)-4-propyl-1,3-dioxolan-2-yl]methyl]-1H-1,2,4-triazole</t>
  </si>
  <si>
    <t>151779-31-6</t>
  </si>
  <si>
    <t>DTXSID701033324</t>
  </si>
  <si>
    <t>(alphaE)-2-[[6-(2-Cyanophenoxy)-4-pyrimidinyl]oxy]-alpha-(methoxymethylene)benzeneacetic acid methyl ester mixt. with alpha-(4-chlorophenyl)-alpha-(1-cyclopropylethyl)-1H-1,2,4-triazole-1-ethanol</t>
  </si>
  <si>
    <t>909403-99-2</t>
  </si>
  <si>
    <t>DTXSID701339067</t>
  </si>
  <si>
    <t>N-Propyl-N-[2-(2,4,6-trichlorophenoxy)ethyl]-1H-imidazole-1-carboxamide mixt. with alpha-(4-chlorophenyl)-alpha-(1-cyclopropylethyl)-1H-1,2,4-triazole-1-ethanol</t>
  </si>
  <si>
    <t>120395-96-2</t>
  </si>
  <si>
    <t>DTXSID60872886</t>
  </si>
  <si>
    <t>(2S,3R)-(+)-Cyproconazole</t>
  </si>
  <si>
    <t>138604-74-7</t>
  </si>
  <si>
    <t>DTXSID20872887</t>
  </si>
  <si>
    <t>(2S,3S)-2-(4-Chlorophenyl)-3-cyclopropyl-1-(1H-1,2,4-triazol-1-yl)butan-2-ol</t>
  </si>
  <si>
    <t>138604-73-6</t>
  </si>
  <si>
    <t>DTXSID00872885</t>
  </si>
  <si>
    <t>(2R,3S)-(-)-Cyproconazole</t>
  </si>
  <si>
    <t>138604-75-8</t>
  </si>
  <si>
    <t>DTXSID30872893</t>
  </si>
  <si>
    <t>(2R,3R)-(-)-Cyproconazole</t>
  </si>
  <si>
    <t>138604-72-5</t>
  </si>
  <si>
    <t>DTXSID501024787</t>
  </si>
  <si>
    <t>Cyproconazole metabolite (M36)</t>
  </si>
  <si>
    <t>NOCAS_1024787</t>
  </si>
  <si>
    <t>DTXSID101024785</t>
  </si>
  <si>
    <t>Cyproconazole metabolite (M21/21a)</t>
  </si>
  <si>
    <t>NOCAS_1024785</t>
  </si>
  <si>
    <t>Markush Parent</t>
  </si>
  <si>
    <t>DTXSID201024671</t>
  </si>
  <si>
    <t>Polychlorinated dibenzodioxins</t>
  </si>
  <si>
    <t>NOCAS_1024671</t>
  </si>
  <si>
    <t>DTXSID4051378</t>
  </si>
  <si>
    <t>Tetrachlorodibenzodioxin</t>
  </si>
  <si>
    <t>41903-57-5</t>
  </si>
  <si>
    <t>WIKIPEDIA_ARTICLE_URL</t>
  </si>
  <si>
    <t>IRIS_LINK_URL</t>
  </si>
  <si>
    <t>DTXSID_URL</t>
  </si>
  <si>
    <t>https://comptox.epa.gov/dashboard/chemical/details/DTXSID4020242#</t>
  </si>
  <si>
    <t>https://comptox.epa.gov/dashboard/chemical/details/DTXSID5041778#</t>
  </si>
  <si>
    <t>https://comptox.epa.gov/dashboard/chemical/details/DTXSID8041901#</t>
  </si>
  <si>
    <t>https://comptox.epa.gov/dashboard/chemical/details/DTXSID9075454#</t>
  </si>
  <si>
    <t/>
  </si>
  <si>
    <t>https://comptox.epa.gov/dashboard/chemical/details/DTXSID2020424#</t>
  </si>
  <si>
    <t>https://comptox.epa.gov/dashboard/chemical/details/DTXSID6042280#</t>
  </si>
  <si>
    <t>https://comptox.epa.gov/dashboard/chemical/details/DTXSID2032342#</t>
  </si>
  <si>
    <t>https://comptox.epa.gov/dashboard/chemical/details/DTXSID8042139#</t>
  </si>
  <si>
    <t>https://comptox.epa.gov/dashboard/chemical/details/DTXSID9042093#</t>
  </si>
  <si>
    <t>https://comptox.epa.gov/dashboard/chemical/details/DTXSID1040372#</t>
  </si>
  <si>
    <t>https://comptox.epa.gov/dashboard/chemical/details/DTXSID901034223#</t>
  </si>
  <si>
    <t>https://comptox.epa.gov/dashboard/chemical/details/DTXSID7032393#</t>
  </si>
  <si>
    <t>https://comptox.epa.gov/dashboard/chemical/details/DTXSID0024002#</t>
  </si>
  <si>
    <t>https://comptox.epa.gov/dashboard/chemical/details/DTXSID8032548#</t>
  </si>
  <si>
    <t>https://comptox.epa.gov/dashboard/chemical/details/DTXSID1042283#</t>
  </si>
  <si>
    <t>https://comptox.epa.gov/dashboard/chemical/details/DTXSID6042282#</t>
  </si>
  <si>
    <t>https://comptox.epa.gov/dashboard/chemical/details/DTXSID0047874#</t>
  </si>
  <si>
    <t>https://comptox.epa.gov/dashboard/chemical/details/DTXSID00192919#</t>
  </si>
  <si>
    <t>https://comptox.epa.gov/dashboard/chemical/details/DTXSID0032601#</t>
  </si>
  <si>
    <t>https://comptox.epa.gov/dashboard/chemical/details/DTXSID501016613#</t>
  </si>
  <si>
    <t>https://comptox.epa.gov/dashboard/chemical/details/DTXSID5041986#</t>
  </si>
  <si>
    <t>https://comptox.epa.gov/dashboard/chemical/details/DTXSID40904159#</t>
  </si>
  <si>
    <t>https://comptox.epa.gov/dashboard/chemical/details/DTXSID3074070#</t>
  </si>
  <si>
    <t>https://comptox.epa.gov/dashboard/chemical/details/DTXSID3047891#</t>
  </si>
  <si>
    <t>https://comptox.epa.gov/dashboard/chemical/literature-iris/DTXSID4020242#</t>
  </si>
  <si>
    <t>https://comptox.epa.gov/dashboard/chemical/literature-iris/DTXSID0024002#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</si>
</sst>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indexed="8"/>
      <name val="Calibri"/>
      <family val="2"/>
      <scheme val="minor"/>
    </font>
    <font>
      <sz val="10"/>
      <color indexed="8"/>
      <name val="Arial"/>
    </font>
    <font>
      <sz val="10"/>
      <color indexed="12"/>
      <name val="Arial"/>
    </font>
    <font>
      <sz val="10"/>
      <color indexed="8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0253C0-B2BD-4557-A9A2-BCB7E38FFC30}" name="Table1" displayName="Table1" ref="A1:AS57" totalsRowShown="0">
  <autoFilter ref="A1:AS57" xr:uid="{BA0253C0-B2BD-4557-A9A2-BCB7E38FFC30}"/>
  <tableColumns count="45">
    <tableColumn id="1" xr3:uid="{007DB3CA-8F0C-4E7B-8D8C-BC689395A7B7}" name="INPUT"/>
    <tableColumn id="2" xr3:uid="{52E503F3-4BEE-4C95-A0B4-E6A25E5C545A}" name="FOUND_BY"/>
    <tableColumn id="43" xr3:uid="{35149FE1-63DA-423E-9976-B9FB89112F48}" name="DTXSID_URL" dataDxfId="2"/>
    <tableColumn id="3" xr3:uid="{C1C342CC-85D2-415F-A873-8912D3C833A2}" name="DTXSID"/>
    <tableColumn id="4" xr3:uid="{7DBB3756-3481-4156-920C-BC8B4AF21471}" name="PREFERRED_NAME"/>
    <tableColumn id="5" xr3:uid="{F964FB20-D1E1-4FE4-B248-4DA9AEBADE86}" name="DTXCID"/>
    <tableColumn id="6" xr3:uid="{70105896-6E5A-4081-B513-E6F6999013C5}" name="CASRN"/>
    <tableColumn id="7" xr3:uid="{9A88875A-7AEF-4071-A11B-9BF46A829580}" name="INCHIKEY"/>
    <tableColumn id="8" xr3:uid="{0BBA9E0D-45BC-4230-BC7B-E168A4F4C8C3}" name="IUPAC_NAME"/>
    <tableColumn id="9" xr3:uid="{1E96AB6A-8BB8-463E-8F41-27FB1CA13537}" name="SMILES"/>
    <tableColumn id="10" xr3:uid="{6567BFA8-4595-40E3-85D1-F20B69A3DCAF}" name="INCHI_STRING"/>
    <tableColumn id="44" xr3:uid="{96C119D5-76CF-42FA-B918-A47C19091A09}" name="IRIS_LINK_URL" dataDxfId="1"/>
    <tableColumn id="11" xr3:uid="{08295B36-9529-4388-AE1E-4B4187FF7EBD}" name="IRIS_LINK"/>
    <tableColumn id="45" xr3:uid="{45F77227-6225-4603-853D-1602E5FEDF31}" name="WIKIPEDIA_ARTICLE_URL" dataDxfId="0"/>
    <tableColumn id="12" xr3:uid="{409E4FEB-B0B3-4D91-ABA4-7D2A3FA0489C}" name="WIKIPEDIA_ARTICLE"/>
    <tableColumn id="13" xr3:uid="{B4F582B1-8D2C-4D38-B830-DBB9BDC8DD8C}" name="BIOCONCENTRATION_FACTOR_TEST_PRED"/>
    <tableColumn id="14" xr3:uid="{DC3207CC-FB12-4572-A5AA-B83F6B73F60B}" name="BOILING_POINT_DEGC_TEST_PRED"/>
    <tableColumn id="15" xr3:uid="{F9146387-75C2-4660-B994-F6898825185A}" name="48HR_DAPHNIA_LC50_MOL/L_TEST_PRED"/>
    <tableColumn id="16" xr3:uid="{E13FC638-A6F3-4528-865F-0605C7891E0F}" name="DENSITY_G/CM^3_TEST_PRED"/>
    <tableColumn id="17" xr3:uid="{6DF326CF-FFEA-4176-94BD-097B6AA72C55}" name="DEVTOX_TEST_PRED"/>
    <tableColumn id="18" xr3:uid="{55E3C82C-718B-4FFE-AEEC-372E2B7DCB67}" name="96HR_FATHEAD_MINNOW_MOL/L_TEST_PRED"/>
    <tableColumn id="19" xr3:uid="{1566F1BD-994A-4DE8-82FF-3EC5E4599307}" name="FLASH_POINT_DEGC_TEST_PRED"/>
    <tableColumn id="20" xr3:uid="{2A724EE4-AAAA-4B08-8701-B40810BDB40A}" name="MELTING_POINT_DEGC_TEST_PRED"/>
    <tableColumn id="21" xr3:uid="{A1F19BB9-2719-439C-A736-944BE60BA419}" name="AMES_MUTAGENICITY_TEST_PRED"/>
    <tableColumn id="22" xr3:uid="{74B0023C-E673-48C3-ADD6-FA433E16E62C}" name="ORAL_RAT_LD50_MOL/KG_TEST_PRED"/>
    <tableColumn id="23" xr3:uid="{4857BDAB-8BEF-48E4-B315-D943F63CBB99}" name="SURFACE_TENSION_DYN/CM_TEST_PRED"/>
    <tableColumn id="24" xr3:uid="{2F5BEC9B-A8C7-4318-AF4C-13E7C4937B6B}" name="THERMAL_CONDUCTIVITY_MW/(M*K)_TEST_PRED"/>
    <tableColumn id="25" xr3:uid="{D315F18C-1BDC-43C3-8E45-1AA476E2BE15}" name="TETRAHYMENA_PYRIFORMIS_IGC50_MOL/L_TEST_PRED"/>
    <tableColumn id="26" xr3:uid="{F92D2052-53D7-4CA1-8708-A771C80B76EF}" name="VISCOSITY_CP_CP_TEST_PRED"/>
    <tableColumn id="27" xr3:uid="{6D9A574E-1C49-4B4A-A01E-3EB7951D2926}" name="VAPOR_PRESSURE_MMHG_TEST_PRED"/>
    <tableColumn id="28" xr3:uid="{6AA31A44-1E44-4CD1-A96A-67A9C176447C}" name="WATER_SOLUBILITY_MOL/L_TEST_PRED"/>
    <tableColumn id="29" xr3:uid="{69C2A052-99DE-4749-A25A-D4739C30C0AB}" name="ATMOSPHERIC_HYDROXYLATION_RATE_(AOH)_CM3/MOLECULE*SEC_OPERA_PRED"/>
    <tableColumn id="30" xr3:uid="{CB2AD097-775B-404F-A32E-E383F9808DB2}" name="BIOCONCENTRATION_FACTOR_OPERA_PRED"/>
    <tableColumn id="31" xr3:uid="{8406EB7C-0F10-4C7C-A3AE-9731A9779C05}" name="BIODEGRADATION_HALF_LIFE_DAYS_DAYS_OPERA_PRED"/>
    <tableColumn id="32" xr3:uid="{B2AFBF23-D16D-406E-8252-E386D7758491}" name="BOILING_POINT_DEGC_OPERA_PRED"/>
    <tableColumn id="33" xr3:uid="{B0EA9A34-F2ED-41C0-B4E9-82354264FFD8}" name="HENRYS_LAW_ATM-M3/MOLE_OPERA_PRED"/>
    <tableColumn id="34" xr3:uid="{A8AB5FB6-F3AE-4676-8A9C-4F4F421AA854}" name="OPERA_KM_DAYS_OPERA_PRED"/>
    <tableColumn id="35" xr3:uid="{04770D8E-C4B6-410E-A46A-0DD5806AEF95}" name="OCTANOL_AIR_PARTITION_COEFF_LOGKOA_OPERA_PRED"/>
    <tableColumn id="36" xr3:uid="{B6082A64-8189-4335-B3D4-16F457D8BF6F}" name="SOIL_ADSORPTION_COEFFICIENT_KOC_L/KG_OPERA_PRED"/>
    <tableColumn id="37" xr3:uid="{E010610A-C747-43CB-9283-279D9D93B34E}" name="OCTANOL_WATER_PARTITION_LOGP_OPERA_PRED"/>
    <tableColumn id="38" xr3:uid="{02E5C4C7-0469-4A28-B941-EBE6864A4556}" name="MELTING_POINT_DEGC_OPERA_PRED"/>
    <tableColumn id="39" xr3:uid="{3DF86AC2-5DD7-40F2-B337-4CC2D3757B78}" name="OPERA_PKAA_OPERA_PRED"/>
    <tableColumn id="40" xr3:uid="{5538C113-4D49-4B5B-914A-A5BB51199B5A}" name="OPERA_PKAB_OPERA_PRED"/>
    <tableColumn id="41" xr3:uid="{578DF7A8-8A82-40B7-8C72-4219BD80202D}" name="VAPOR_PRESSURE_MMHG_OPERA_PRED"/>
    <tableColumn id="42" xr3:uid="{24C8B775-F010-4F90-8EEA-5A9581BD2354}" name="WATER_SOLUBILITY_MOL/L_OPERA_P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mptox.epa.gov/dashboard/chemical/details/DTXSID6042280" TargetMode="External"/><Relationship Id="rId18" Type="http://schemas.openxmlformats.org/officeDocument/2006/relationships/hyperlink" Target="https://comptox.epa.gov/dashboard/chemical/details/DTXSID8042139" TargetMode="External"/><Relationship Id="rId26" Type="http://schemas.openxmlformats.org/officeDocument/2006/relationships/hyperlink" Target="https://comptox.epa.gov/dashboard/chemical/details/DTXCID9020372" TargetMode="External"/><Relationship Id="rId39" Type="http://schemas.openxmlformats.org/officeDocument/2006/relationships/hyperlink" Target="https://comptox.epa.gov/dashboard/chemical/details/DTXCID4022282" TargetMode="External"/><Relationship Id="rId21" Type="http://schemas.openxmlformats.org/officeDocument/2006/relationships/hyperlink" Target="https://comptox.epa.gov/dashboard/chemical/details/DTXCID7022093" TargetMode="External"/><Relationship Id="rId34" Type="http://schemas.openxmlformats.org/officeDocument/2006/relationships/hyperlink" Target="https://comptox.epa.gov/dashboard/chemical/details/DTXSID8032548" TargetMode="External"/><Relationship Id="rId42" Type="http://schemas.openxmlformats.org/officeDocument/2006/relationships/hyperlink" Target="https://comptox.epa.gov/dashboard/chemical/details/DTXSID00192919" TargetMode="External"/><Relationship Id="rId47" Type="http://schemas.openxmlformats.org/officeDocument/2006/relationships/hyperlink" Target="https://comptox.epa.gov/dashboard/chemical/details/DTXSID501016613" TargetMode="External"/><Relationship Id="rId50" Type="http://schemas.openxmlformats.org/officeDocument/2006/relationships/hyperlink" Target="https://comptox.epa.gov/dashboard/chemical/details/DTXCID3021986" TargetMode="External"/><Relationship Id="rId55" Type="http://schemas.openxmlformats.org/officeDocument/2006/relationships/hyperlink" Target="https://comptox.epa.gov/dashboard/chemical/details/DTXSID3047891" TargetMode="External"/><Relationship Id="rId7" Type="http://schemas.openxmlformats.org/officeDocument/2006/relationships/hyperlink" Target="https://comptox.epa.gov/dashboard/chemical/details/DTXSID8041901" TargetMode="External"/><Relationship Id="rId2" Type="http://schemas.openxmlformats.org/officeDocument/2006/relationships/hyperlink" Target="https://comptox.epa.gov/dashboard/chemical/details/DTXCID60242" TargetMode="External"/><Relationship Id="rId16" Type="http://schemas.openxmlformats.org/officeDocument/2006/relationships/hyperlink" Target="https://comptox.epa.gov/dashboard/chemical/details/DTXSID2032342" TargetMode="External"/><Relationship Id="rId29" Type="http://schemas.openxmlformats.org/officeDocument/2006/relationships/hyperlink" Target="https://en.wikipedia.org/wiki/Fenoxycarb" TargetMode="External"/><Relationship Id="rId11" Type="http://schemas.openxmlformats.org/officeDocument/2006/relationships/hyperlink" Target="https://comptox.epa.gov/dashboard/chemical/details/DTXSID2020424" TargetMode="External"/><Relationship Id="rId24" Type="http://schemas.openxmlformats.org/officeDocument/2006/relationships/hyperlink" Target="https://en.wikipedia.org/wiki/Epoxiconazole" TargetMode="External"/><Relationship Id="rId32" Type="http://schemas.openxmlformats.org/officeDocument/2006/relationships/hyperlink" Target="https://comptox.epa.gov/dashboard/chemical/literature-iris/DTXSID0024002" TargetMode="External"/><Relationship Id="rId37" Type="http://schemas.openxmlformats.org/officeDocument/2006/relationships/hyperlink" Target="https://comptox.epa.gov/dashboard/chemical/details/DTXCID9022283" TargetMode="External"/><Relationship Id="rId40" Type="http://schemas.openxmlformats.org/officeDocument/2006/relationships/hyperlink" Target="https://comptox.epa.gov/dashboard/chemical/details/DTXSID0047874" TargetMode="External"/><Relationship Id="rId45" Type="http://schemas.openxmlformats.org/officeDocument/2006/relationships/hyperlink" Target="https://comptox.epa.gov/dashboard/chemical/details/DTXCID8012601" TargetMode="External"/><Relationship Id="rId53" Type="http://schemas.openxmlformats.org/officeDocument/2006/relationships/hyperlink" Target="https://comptox.epa.gov/dashboard/chemical/details/DTXSID3074070" TargetMode="External"/><Relationship Id="rId5" Type="http://schemas.openxmlformats.org/officeDocument/2006/relationships/hyperlink" Target="https://comptox.epa.gov/dashboard/chemical/details/DTXSID5041778" TargetMode="External"/><Relationship Id="rId19" Type="http://schemas.openxmlformats.org/officeDocument/2006/relationships/hyperlink" Target="https://comptox.epa.gov/dashboard/chemical/details/DTXCID6022139" TargetMode="External"/><Relationship Id="rId4" Type="http://schemas.openxmlformats.org/officeDocument/2006/relationships/hyperlink" Target="https://en.wikipedia.org/wiki/Captafol" TargetMode="External"/><Relationship Id="rId9" Type="http://schemas.openxmlformats.org/officeDocument/2006/relationships/hyperlink" Target="https://comptox.epa.gov/dashboard/chemical/details/DTXSID9075454" TargetMode="External"/><Relationship Id="rId14" Type="http://schemas.openxmlformats.org/officeDocument/2006/relationships/hyperlink" Target="https://comptox.epa.gov/dashboard/chemical/details/DTXCID4022280" TargetMode="External"/><Relationship Id="rId22" Type="http://schemas.openxmlformats.org/officeDocument/2006/relationships/hyperlink" Target="https://comptox.epa.gov/dashboard/chemical/details/DTXSID1040372" TargetMode="External"/><Relationship Id="rId27" Type="http://schemas.openxmlformats.org/officeDocument/2006/relationships/hyperlink" Target="https://comptox.epa.gov/dashboard/chemical/details/DTXSID7032393" TargetMode="External"/><Relationship Id="rId30" Type="http://schemas.openxmlformats.org/officeDocument/2006/relationships/hyperlink" Target="https://comptox.epa.gov/dashboard/chemical/details/DTXSID0024002" TargetMode="External"/><Relationship Id="rId35" Type="http://schemas.openxmlformats.org/officeDocument/2006/relationships/hyperlink" Target="https://comptox.epa.gov/dashboard/chemical/details/DTXCID6012548" TargetMode="External"/><Relationship Id="rId43" Type="http://schemas.openxmlformats.org/officeDocument/2006/relationships/hyperlink" Target="https://comptox.epa.gov/dashboard/chemical/details/DTXCID90115410" TargetMode="External"/><Relationship Id="rId48" Type="http://schemas.openxmlformats.org/officeDocument/2006/relationships/hyperlink" Target="https://comptox.epa.gov/dashboard/chemical/details/DTXCID801474806" TargetMode="External"/><Relationship Id="rId56" Type="http://schemas.openxmlformats.org/officeDocument/2006/relationships/hyperlink" Target="https://comptox.epa.gov/dashboard/chemical/details/DTXCID9027867" TargetMode="External"/><Relationship Id="rId8" Type="http://schemas.openxmlformats.org/officeDocument/2006/relationships/hyperlink" Target="https://comptox.epa.gov/dashboard/chemical/details/DTXCID6021901" TargetMode="External"/><Relationship Id="rId51" Type="http://schemas.openxmlformats.org/officeDocument/2006/relationships/hyperlink" Target="https://comptox.epa.gov/dashboard/chemical/details/DTXSID40904159" TargetMode="External"/><Relationship Id="rId3" Type="http://schemas.openxmlformats.org/officeDocument/2006/relationships/hyperlink" Target="https://comptox.epa.gov/dashboard/chemical/literature-iris/DTXSID4020242" TargetMode="External"/><Relationship Id="rId12" Type="http://schemas.openxmlformats.org/officeDocument/2006/relationships/hyperlink" Target="https://comptox.epa.gov/dashboard/chemical/details/DTXCID00424" TargetMode="External"/><Relationship Id="rId17" Type="http://schemas.openxmlformats.org/officeDocument/2006/relationships/hyperlink" Target="https://comptox.epa.gov/dashboard/chemical/details/DTXCID0012342" TargetMode="External"/><Relationship Id="rId25" Type="http://schemas.openxmlformats.org/officeDocument/2006/relationships/hyperlink" Target="https://comptox.epa.gov/dashboard/chemical/details/DTXSID901034223" TargetMode="External"/><Relationship Id="rId33" Type="http://schemas.openxmlformats.org/officeDocument/2006/relationships/hyperlink" Target="https://en.wikipedia.org/wiki/Fenpropathrin" TargetMode="External"/><Relationship Id="rId38" Type="http://schemas.openxmlformats.org/officeDocument/2006/relationships/hyperlink" Target="https://comptox.epa.gov/dashboard/chemical/details/DTXSID6042282" TargetMode="External"/><Relationship Id="rId46" Type="http://schemas.openxmlformats.org/officeDocument/2006/relationships/hyperlink" Target="https://en.wikipedia.org/wiki/Cyproconazole" TargetMode="External"/><Relationship Id="rId20" Type="http://schemas.openxmlformats.org/officeDocument/2006/relationships/hyperlink" Target="https://comptox.epa.gov/dashboard/chemical/details/DTXSID9042093" TargetMode="External"/><Relationship Id="rId41" Type="http://schemas.openxmlformats.org/officeDocument/2006/relationships/hyperlink" Target="https://comptox.epa.gov/dashboard/chemical/details/DTXCID0027850" TargetMode="External"/><Relationship Id="rId54" Type="http://schemas.openxmlformats.org/officeDocument/2006/relationships/hyperlink" Target="https://comptox.epa.gov/dashboard/chemical/details/DTXCID4043355" TargetMode="External"/><Relationship Id="rId1" Type="http://schemas.openxmlformats.org/officeDocument/2006/relationships/hyperlink" Target="https://comptox.epa.gov/dashboard/chemical/details/DTXSID4020242" TargetMode="External"/><Relationship Id="rId6" Type="http://schemas.openxmlformats.org/officeDocument/2006/relationships/hyperlink" Target="https://comptox.epa.gov/dashboard/chemical/details/DTXCID3021778" TargetMode="External"/><Relationship Id="rId15" Type="http://schemas.openxmlformats.org/officeDocument/2006/relationships/hyperlink" Target="https://en.wikipedia.org/wiki/Phenthoate" TargetMode="External"/><Relationship Id="rId23" Type="http://schemas.openxmlformats.org/officeDocument/2006/relationships/hyperlink" Target="https://comptox.epa.gov/dashboard/chemical/details/DTXCID801518894" TargetMode="External"/><Relationship Id="rId28" Type="http://schemas.openxmlformats.org/officeDocument/2006/relationships/hyperlink" Target="https://comptox.epa.gov/dashboard/chemical/details/DTXCID5012393" TargetMode="External"/><Relationship Id="rId36" Type="http://schemas.openxmlformats.org/officeDocument/2006/relationships/hyperlink" Target="https://comptox.epa.gov/dashboard/chemical/details/DTXSID1042283" TargetMode="External"/><Relationship Id="rId49" Type="http://schemas.openxmlformats.org/officeDocument/2006/relationships/hyperlink" Target="https://comptox.epa.gov/dashboard/chemical/details/DTXSID5041986" TargetMode="External"/><Relationship Id="rId57" Type="http://schemas.openxmlformats.org/officeDocument/2006/relationships/table" Target="../tables/table1.xml"/><Relationship Id="rId10" Type="http://schemas.openxmlformats.org/officeDocument/2006/relationships/hyperlink" Target="https://comptox.epa.gov/dashboard/chemical/details/DTXCID2047727" TargetMode="External"/><Relationship Id="rId31" Type="http://schemas.openxmlformats.org/officeDocument/2006/relationships/hyperlink" Target="https://comptox.epa.gov/dashboard/chemical/details/DTXCID204002" TargetMode="External"/><Relationship Id="rId44" Type="http://schemas.openxmlformats.org/officeDocument/2006/relationships/hyperlink" Target="https://comptox.epa.gov/dashboard/chemical/details/DTXSID0032601" TargetMode="External"/><Relationship Id="rId52" Type="http://schemas.openxmlformats.org/officeDocument/2006/relationships/hyperlink" Target="https://comptox.epa.gov/dashboard/chemical/details/DTXCID902998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7"/>
  <sheetViews>
    <sheetView workbookViewId="0"/>
  </sheetViews>
  <sheetFormatPr defaultRowHeight="15" x14ac:dyDescent="0.25"/>
  <cols>
    <col min="1" max="1" width="25" customWidth="1"/>
    <col min="2" max="2" width="100" customWidth="1"/>
  </cols>
  <sheetData>
    <row r="2" spans="1:2" s="1" customFormat="1" ht="38.450000000000003" customHeight="1" x14ac:dyDescent="0.25">
      <c r="A2" t="s">
        <v>0</v>
      </c>
      <c r="B2" t="s">
        <v>1</v>
      </c>
    </row>
    <row r="3" spans="1:2" s="1" customFormat="1" x14ac:dyDescent="0.25">
      <c r="A3" t="s">
        <v>2</v>
      </c>
      <c r="B3" t="s">
        <v>3</v>
      </c>
    </row>
    <row r="4" spans="1:2" s="1" customFormat="1" x14ac:dyDescent="0.25">
      <c r="A4" t="s">
        <v>4</v>
      </c>
      <c r="B4">
        <v>55</v>
      </c>
    </row>
    <row r="5" spans="1:2" s="1" customFormat="1" x14ac:dyDescent="0.25">
      <c r="A5" t="s">
        <v>5</v>
      </c>
      <c r="B5">
        <v>23</v>
      </c>
    </row>
    <row r="6" spans="1:2" s="1" customFormat="1" x14ac:dyDescent="0.25">
      <c r="A6" t="s">
        <v>6</v>
      </c>
      <c r="B6">
        <v>32</v>
      </c>
    </row>
    <row r="7" spans="1:2" s="1" customFormat="1" x14ac:dyDescent="0.25">
      <c r="A7" t="s">
        <v>7</v>
      </c>
      <c r="B7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S57"/>
  <sheetViews>
    <sheetView tabSelected="1" workbookViewId="0">
      <selection activeCell="P17" sqref="P17"/>
    </sheetView>
  </sheetViews>
  <sheetFormatPr defaultRowHeight="15" x14ac:dyDescent="0.25"/>
  <cols>
    <col min="2" max="3" width="13" customWidth="1"/>
    <col min="4" max="4" width="9.42578125" customWidth="1"/>
    <col min="5" max="5" width="19.5703125" customWidth="1"/>
    <col min="6" max="6" width="9.5703125" customWidth="1"/>
    <col min="8" max="8" width="11.42578125" customWidth="1"/>
    <col min="9" max="9" width="15.28515625" customWidth="1"/>
    <col min="10" max="10" width="9.42578125" customWidth="1"/>
    <col min="11" max="12" width="15.7109375" customWidth="1"/>
    <col min="13" max="14" width="11.42578125" customWidth="1"/>
    <col min="15" max="15" width="20.7109375" customWidth="1"/>
    <col min="16" max="16" width="40.28515625" customWidth="1"/>
    <col min="17" max="17" width="33.5703125" customWidth="1"/>
    <col min="18" max="18" width="39.28515625" customWidth="1"/>
    <col min="19" max="19" width="29.42578125" customWidth="1"/>
    <col min="20" max="20" width="20.85546875" customWidth="1"/>
    <col min="21" max="21" width="43.85546875" customWidth="1"/>
    <col min="22" max="22" width="31.5703125" customWidth="1"/>
    <col min="23" max="23" width="34.28515625" customWidth="1"/>
    <col min="24" max="24" width="33.7109375" customWidth="1"/>
    <col min="25" max="25" width="36.5703125" customWidth="1"/>
    <col min="26" max="26" width="39.28515625" customWidth="1"/>
    <col min="27" max="27" width="47.7109375" customWidth="1"/>
    <col min="28" max="28" width="52.140625" customWidth="1"/>
    <col min="29" max="29" width="29.42578125" customWidth="1"/>
    <col min="30" max="30" width="37.28515625" customWidth="1"/>
    <col min="31" max="31" width="38" customWidth="1"/>
    <col min="32" max="32" width="73.42578125" customWidth="1"/>
    <col min="33" max="33" width="42.28515625" customWidth="1"/>
    <col min="34" max="34" width="53.28515625" customWidth="1"/>
    <col min="35" max="35" width="35.5703125" customWidth="1"/>
    <col min="36" max="36" width="42.5703125" customWidth="1"/>
    <col min="37" max="37" width="31.42578125" customWidth="1"/>
    <col min="38" max="38" width="54" customWidth="1"/>
    <col min="39" max="39" width="54.5703125" customWidth="1"/>
    <col min="40" max="40" width="48.140625" customWidth="1"/>
    <col min="41" max="41" width="36.28515625" customWidth="1"/>
    <col min="42" max="42" width="27.5703125" customWidth="1"/>
    <col min="43" max="43" width="27.42578125" customWidth="1"/>
    <col min="44" max="44" width="39.28515625" customWidth="1"/>
    <col min="45" max="45" width="40" customWidth="1"/>
  </cols>
  <sheetData>
    <row r="1" spans="1:45" x14ac:dyDescent="0.25">
      <c r="A1" t="s">
        <v>8</v>
      </c>
      <c r="B1" t="s">
        <v>9</v>
      </c>
      <c r="C1" t="s">
        <v>522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521</v>
      </c>
      <c r="M1" t="s">
        <v>18</v>
      </c>
      <c r="N1" t="s">
        <v>520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</row>
    <row r="2" spans="1:45" s="1" customFormat="1" x14ac:dyDescent="0.25">
      <c r="A2" t="s">
        <v>50</v>
      </c>
      <c r="B2" t="s">
        <v>51</v>
      </c>
      <c r="C2" t="s">
        <v>523</v>
      </c>
      <c r="D2" s="2" t="s">
        <v>52</v>
      </c>
      <c r="E2" t="s">
        <v>50</v>
      </c>
      <c r="F2" s="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548</v>
      </c>
      <c r="M2" s="2" t="s">
        <v>59</v>
      </c>
      <c r="N2" t="str" cm="1">
        <f t="array" ref="N2">getURL(Table1[[#This Row],[WIKIPEDIA_ARTICLE]],"")</f>
        <v>https://en.wikipedia.org/wiki/Captafol#</v>
      </c>
      <c r="O2" s="2" t="s">
        <v>59</v>
      </c>
      <c r="P2" s="3">
        <v>11.830399999999999</v>
      </c>
      <c r="Q2" t="s">
        <v>60</v>
      </c>
      <c r="R2" s="3">
        <v>6.7452799999999999E-6</v>
      </c>
      <c r="S2" s="3">
        <v>1.665</v>
      </c>
      <c r="T2" s="3">
        <v>0.78700000000000003</v>
      </c>
      <c r="U2" s="3">
        <v>9.4841799999999996E-7</v>
      </c>
      <c r="V2" s="3">
        <v>186.49700000000001</v>
      </c>
      <c r="W2" s="3">
        <v>112.977</v>
      </c>
      <c r="X2" s="3">
        <v>0.437</v>
      </c>
      <c r="Y2" s="3">
        <v>1.33045E-2</v>
      </c>
      <c r="Z2" t="s">
        <v>60</v>
      </c>
      <c r="AA2" t="s">
        <v>60</v>
      </c>
      <c r="AB2" t="s">
        <v>60</v>
      </c>
      <c r="AC2" t="s">
        <v>60</v>
      </c>
      <c r="AD2" s="3">
        <v>1.02094E-7</v>
      </c>
      <c r="AE2" s="3">
        <v>7.6559700000000005E-6</v>
      </c>
      <c r="AF2" s="3">
        <v>2.8489399999999999E-11</v>
      </c>
      <c r="AG2" s="3">
        <v>129.16399999999999</v>
      </c>
      <c r="AH2" s="3">
        <v>9.38767</v>
      </c>
      <c r="AI2" s="3">
        <v>302.24299999999999</v>
      </c>
      <c r="AJ2" s="3">
        <v>4.1975299999999996E-6</v>
      </c>
      <c r="AK2" s="3">
        <v>0.73287199999999997</v>
      </c>
      <c r="AL2" s="3">
        <v>10.2605</v>
      </c>
      <c r="AM2" s="3">
        <v>2087.2800000000002</v>
      </c>
      <c r="AN2" s="3">
        <v>3.7985099999999998</v>
      </c>
      <c r="AO2" s="3">
        <v>160.458</v>
      </c>
      <c r="AP2" t="s">
        <v>60</v>
      </c>
      <c r="AQ2" t="s">
        <v>60</v>
      </c>
      <c r="AR2" s="3">
        <v>2.6015999999999998E-6</v>
      </c>
      <c r="AS2" s="3">
        <v>4.0853999999999999E-6</v>
      </c>
    </row>
    <row r="3" spans="1:45" s="1" customFormat="1" x14ac:dyDescent="0.25">
      <c r="A3" t="s">
        <v>61</v>
      </c>
      <c r="B3" t="s">
        <v>51</v>
      </c>
      <c r="C3" t="s">
        <v>524</v>
      </c>
      <c r="D3" s="2" t="s">
        <v>62</v>
      </c>
      <c r="E3" t="s">
        <v>61</v>
      </c>
      <c r="F3" s="2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527</v>
      </c>
      <c r="M3" t="s">
        <v>60</v>
      </c>
      <c r="N3" t="str" cm="1">
        <f t="array" ref="N3">getURL(Table1[[#This Row],[WIKIPEDIA_ARTICLE]],"")</f>
        <v/>
      </c>
      <c r="O3" t="s">
        <v>60</v>
      </c>
      <c r="P3" s="3">
        <v>322.84899999999999</v>
      </c>
      <c r="Q3" s="3">
        <v>380.779</v>
      </c>
      <c r="R3" s="3">
        <v>2.5003500000000001E-6</v>
      </c>
      <c r="S3" s="3">
        <v>1.306</v>
      </c>
      <c r="T3" s="3">
        <v>0.85899999999999999</v>
      </c>
      <c r="U3" s="3">
        <v>1.88365E-6</v>
      </c>
      <c r="V3" s="3">
        <v>223.483</v>
      </c>
      <c r="W3" s="3">
        <v>79.087999999999994</v>
      </c>
      <c r="X3" s="3">
        <v>-4.2000000000000003E-2</v>
      </c>
      <c r="Y3" s="3">
        <v>5.9703500000000001E-3</v>
      </c>
      <c r="Z3" s="3">
        <v>45.661000000000001</v>
      </c>
      <c r="AA3" s="3">
        <v>140.26300000000001</v>
      </c>
      <c r="AB3" s="3">
        <v>4.1115000000000004E-6</v>
      </c>
      <c r="AC3" s="3">
        <v>12.7644</v>
      </c>
      <c r="AD3" s="3">
        <v>2.52348E-7</v>
      </c>
      <c r="AE3" s="3">
        <v>2.2079999999999999E-5</v>
      </c>
      <c r="AF3" s="3">
        <v>1.37175E-11</v>
      </c>
      <c r="AG3" s="3">
        <v>221.58</v>
      </c>
      <c r="AH3" s="3">
        <v>4.9007399999999999</v>
      </c>
      <c r="AI3" s="3">
        <v>349.09300000000002</v>
      </c>
      <c r="AJ3" s="3">
        <v>4.7149300000000002E-10</v>
      </c>
      <c r="AK3" s="3">
        <v>1.67916</v>
      </c>
      <c r="AL3" s="3">
        <v>10.968999999999999</v>
      </c>
      <c r="AM3" s="3">
        <v>941.59299999999996</v>
      </c>
      <c r="AN3" s="3">
        <v>4.87378</v>
      </c>
      <c r="AO3" s="3">
        <v>72.945999999999998</v>
      </c>
      <c r="AP3" t="s">
        <v>60</v>
      </c>
      <c r="AQ3" t="s">
        <v>60</v>
      </c>
      <c r="AR3" s="3">
        <v>1.8129800000000001E-7</v>
      </c>
      <c r="AS3" s="3">
        <v>2.9539500000000001E-5</v>
      </c>
    </row>
    <row r="4" spans="1:45" s="1" customFormat="1" x14ac:dyDescent="0.25">
      <c r="A4" t="s">
        <v>69</v>
      </c>
      <c r="B4" t="s">
        <v>51</v>
      </c>
      <c r="C4" t="s">
        <v>525</v>
      </c>
      <c r="D4" s="2" t="s">
        <v>70</v>
      </c>
      <c r="E4" t="s">
        <v>69</v>
      </c>
      <c r="F4" s="2" t="s">
        <v>71</v>
      </c>
      <c r="G4" t="s">
        <v>72</v>
      </c>
      <c r="H4" t="s">
        <v>73</v>
      </c>
      <c r="I4" t="s">
        <v>74</v>
      </c>
      <c r="J4" t="s">
        <v>75</v>
      </c>
      <c r="K4" t="s">
        <v>76</v>
      </c>
      <c r="L4" t="s">
        <v>527</v>
      </c>
      <c r="M4" t="s">
        <v>60</v>
      </c>
      <c r="N4" t="str" cm="1">
        <f t="array" ref="N4">getURL(Table1[[#This Row],[WIKIPEDIA_ARTICLE]],"")</f>
        <v/>
      </c>
      <c r="O4" t="s">
        <v>60</v>
      </c>
      <c r="P4" s="3">
        <v>16.032499999999999</v>
      </c>
      <c r="Q4" t="s">
        <v>60</v>
      </c>
      <c r="R4" s="3">
        <v>1.0666E-7</v>
      </c>
      <c r="S4" s="3">
        <v>1.3</v>
      </c>
      <c r="T4" s="3">
        <v>0.28199999999999997</v>
      </c>
      <c r="U4" s="3">
        <v>1.5885499999999999E-5</v>
      </c>
      <c r="V4" s="3">
        <v>205.83199999999999</v>
      </c>
      <c r="W4" s="3">
        <v>32.295000000000002</v>
      </c>
      <c r="X4" s="3">
        <v>0.27700000000000002</v>
      </c>
      <c r="Y4" s="3">
        <v>4.12098E-5</v>
      </c>
      <c r="Z4" t="s">
        <v>60</v>
      </c>
      <c r="AA4" t="s">
        <v>60</v>
      </c>
      <c r="AB4" t="s">
        <v>60</v>
      </c>
      <c r="AC4" t="s">
        <v>60</v>
      </c>
      <c r="AD4" s="3">
        <v>2.0044700000000001E-6</v>
      </c>
      <c r="AE4" s="3">
        <v>8.3752900000000005E-4</v>
      </c>
      <c r="AF4" s="3">
        <v>1.3540400000000001E-11</v>
      </c>
      <c r="AG4" s="3">
        <v>5.0026700000000002</v>
      </c>
      <c r="AH4" s="3">
        <v>141.85300000000001</v>
      </c>
      <c r="AI4" s="3">
        <v>335.52600000000001</v>
      </c>
      <c r="AJ4" s="3">
        <v>4.40164E-7</v>
      </c>
      <c r="AK4" s="3">
        <v>0.214036</v>
      </c>
      <c r="AL4" s="3">
        <v>9.59755</v>
      </c>
      <c r="AM4" s="3">
        <v>1653.12</v>
      </c>
      <c r="AN4" s="3">
        <v>1.8703099999999999</v>
      </c>
      <c r="AO4" s="3">
        <v>27.593699999999998</v>
      </c>
      <c r="AP4" t="s">
        <v>60</v>
      </c>
      <c r="AQ4" t="s">
        <v>60</v>
      </c>
      <c r="AR4" s="3">
        <v>4.1123499999999997E-6</v>
      </c>
      <c r="AS4" s="3">
        <v>2.88332E-3</v>
      </c>
    </row>
    <row r="5" spans="1:45" s="1" customFormat="1" x14ac:dyDescent="0.25">
      <c r="A5" t="s">
        <v>77</v>
      </c>
      <c r="B5" t="s">
        <v>51</v>
      </c>
      <c r="C5" t="s">
        <v>526</v>
      </c>
      <c r="D5" s="2" t="s">
        <v>78</v>
      </c>
      <c r="E5" t="s">
        <v>77</v>
      </c>
      <c r="F5" s="2" t="s">
        <v>79</v>
      </c>
      <c r="G5" t="s">
        <v>80</v>
      </c>
      <c r="H5" t="s">
        <v>81</v>
      </c>
      <c r="I5" t="s">
        <v>77</v>
      </c>
      <c r="J5" t="s">
        <v>82</v>
      </c>
      <c r="K5" t="s">
        <v>83</v>
      </c>
      <c r="L5" t="s">
        <v>527</v>
      </c>
      <c r="M5" t="s">
        <v>60</v>
      </c>
      <c r="N5" t="str" cm="1">
        <f t="array" ref="N5">getURL(Table1[[#This Row],[WIKIPEDIA_ARTICLE]],"")</f>
        <v/>
      </c>
      <c r="O5" t="s">
        <v>60</v>
      </c>
      <c r="P5" s="3">
        <v>147.23099999999999</v>
      </c>
      <c r="Q5" s="3">
        <v>490.64600000000002</v>
      </c>
      <c r="R5" s="3">
        <v>2.9853800000000001E-6</v>
      </c>
      <c r="S5" s="3">
        <v>1.363</v>
      </c>
      <c r="T5" s="3">
        <v>0.61599999999999999</v>
      </c>
      <c r="U5" s="3">
        <v>4.0737999999999999E-7</v>
      </c>
      <c r="V5" s="3">
        <v>231.517</v>
      </c>
      <c r="W5" s="3">
        <v>179.63300000000001</v>
      </c>
      <c r="X5" s="3">
        <v>0.98299999999999998</v>
      </c>
      <c r="Y5" t="s">
        <v>60</v>
      </c>
      <c r="Z5" t="s">
        <v>60</v>
      </c>
      <c r="AA5" s="3">
        <v>131.303</v>
      </c>
      <c r="AB5" s="3">
        <v>2.9853800000000001E-6</v>
      </c>
      <c r="AC5" t="s">
        <v>60</v>
      </c>
      <c r="AD5" s="3">
        <v>1.05925E-9</v>
      </c>
      <c r="AE5" s="3">
        <v>2.4321999999999998E-7</v>
      </c>
      <c r="AF5" s="3">
        <v>3.8760300000000004E-12</v>
      </c>
      <c r="AG5" s="3">
        <v>1658.59</v>
      </c>
      <c r="AH5" s="3">
        <v>44.3643</v>
      </c>
      <c r="AI5" s="3">
        <v>417.78399999999999</v>
      </c>
      <c r="AJ5" s="3">
        <v>2.0255699999999999E-4</v>
      </c>
      <c r="AK5" s="3">
        <v>0.54439899999999997</v>
      </c>
      <c r="AL5" s="3">
        <v>10.571300000000001</v>
      </c>
      <c r="AM5" s="3">
        <v>310357</v>
      </c>
      <c r="AN5" s="3">
        <v>5.16533</v>
      </c>
      <c r="AO5" s="3">
        <v>152.089</v>
      </c>
      <c r="AP5" t="s">
        <v>60</v>
      </c>
      <c r="AQ5" t="s">
        <v>60</v>
      </c>
      <c r="AR5" s="3">
        <v>5.8578700000000002E-9</v>
      </c>
      <c r="AS5" s="3">
        <v>4.6369300000000002E-7</v>
      </c>
    </row>
    <row r="6" spans="1:45" x14ac:dyDescent="0.25">
      <c r="A6" t="s">
        <v>84</v>
      </c>
      <c r="B6" t="s">
        <v>85</v>
      </c>
      <c r="C6" t="s">
        <v>527</v>
      </c>
      <c r="L6" t="s">
        <v>527</v>
      </c>
      <c r="N6" t="str" cm="1">
        <f t="array" ref="N6">getURL(Table1[[#This Row],[WIKIPEDIA_ARTICLE]],"")</f>
        <v/>
      </c>
    </row>
    <row r="7" spans="1:45" x14ac:dyDescent="0.25">
      <c r="A7" t="s">
        <v>86</v>
      </c>
      <c r="B7" t="s">
        <v>85</v>
      </c>
      <c r="C7" t="s">
        <v>527</v>
      </c>
      <c r="L7" t="s">
        <v>527</v>
      </c>
      <c r="N7" t="str" cm="1">
        <f t="array" ref="N7">getURL(Table1[[#This Row],[WIKIPEDIA_ARTICLE]],"")</f>
        <v/>
      </c>
    </row>
    <row r="8" spans="1:45" s="1" customFormat="1" x14ac:dyDescent="0.25">
      <c r="A8" t="s">
        <v>87</v>
      </c>
      <c r="B8" t="s">
        <v>51</v>
      </c>
      <c r="C8" t="s">
        <v>528</v>
      </c>
      <c r="D8" s="2" t="s">
        <v>88</v>
      </c>
      <c r="E8" t="s">
        <v>87</v>
      </c>
      <c r="F8" s="2" t="s">
        <v>89</v>
      </c>
      <c r="G8" t="s">
        <v>90</v>
      </c>
      <c r="H8" t="s">
        <v>91</v>
      </c>
      <c r="I8" t="s">
        <v>92</v>
      </c>
      <c r="J8" t="s">
        <v>93</v>
      </c>
      <c r="K8" t="s">
        <v>94</v>
      </c>
      <c r="L8" t="s">
        <v>527</v>
      </c>
      <c r="M8" t="s">
        <v>60</v>
      </c>
      <c r="N8" t="str" cm="1">
        <f t="array" ref="N8">getURL(Table1[[#This Row],[WIKIPEDIA_ARTICLE]],"")</f>
        <v/>
      </c>
      <c r="O8" t="s">
        <v>60</v>
      </c>
      <c r="P8" s="3">
        <v>29.7852</v>
      </c>
      <c r="Q8" s="3">
        <v>324.27100000000002</v>
      </c>
      <c r="R8" s="3">
        <v>7.1614300000000001E-6</v>
      </c>
      <c r="S8" s="3">
        <v>1.371</v>
      </c>
      <c r="T8" s="3">
        <v>0.70899999999999996</v>
      </c>
      <c r="U8" s="3">
        <v>7.1779399999999998E-6</v>
      </c>
      <c r="V8" s="3">
        <v>154.697</v>
      </c>
      <c r="W8" s="3">
        <v>112.011</v>
      </c>
      <c r="X8" s="3">
        <v>0.14099999999999999</v>
      </c>
      <c r="Y8" s="3">
        <v>5.4075399999999997E-3</v>
      </c>
      <c r="Z8" t="s">
        <v>60</v>
      </c>
      <c r="AA8" s="3">
        <v>139.46799999999999</v>
      </c>
      <c r="AB8" s="3">
        <v>7.1449600000000001E-5</v>
      </c>
      <c r="AC8" s="3">
        <v>50.699100000000001</v>
      </c>
      <c r="AD8" s="3">
        <v>1.4859400000000001E-6</v>
      </c>
      <c r="AE8" s="3">
        <v>2.03236E-4</v>
      </c>
      <c r="AF8" s="3">
        <v>3.4131199999999997E-11</v>
      </c>
      <c r="AG8" s="3">
        <v>94.087599999999995</v>
      </c>
      <c r="AH8" s="3">
        <v>3.31168</v>
      </c>
      <c r="AI8" s="3">
        <v>317.64299999999997</v>
      </c>
      <c r="AJ8" s="3">
        <v>4.5712600000000002E-9</v>
      </c>
      <c r="AK8" s="3">
        <v>0.13859399999999999</v>
      </c>
      <c r="AL8" s="3">
        <v>9.6578099999999996</v>
      </c>
      <c r="AM8" s="3">
        <v>246.81899999999999</v>
      </c>
      <c r="AN8" s="3">
        <v>3.5754299999999999</v>
      </c>
      <c r="AO8" s="3">
        <v>127.846</v>
      </c>
      <c r="AP8" t="s">
        <v>60</v>
      </c>
      <c r="AQ8" t="s">
        <v>60</v>
      </c>
      <c r="AR8" s="3">
        <v>2.4186900000000001E-7</v>
      </c>
      <c r="AS8" s="3">
        <v>3.7510199999999999E-5</v>
      </c>
    </row>
    <row r="9" spans="1:45" s="1" customFormat="1" x14ac:dyDescent="0.25">
      <c r="A9" t="s">
        <v>95</v>
      </c>
      <c r="B9" t="s">
        <v>51</v>
      </c>
      <c r="C9" t="s">
        <v>529</v>
      </c>
      <c r="D9" s="2" t="s">
        <v>96</v>
      </c>
      <c r="E9" t="s">
        <v>95</v>
      </c>
      <c r="F9" s="2" t="s">
        <v>97</v>
      </c>
      <c r="G9" t="s">
        <v>98</v>
      </c>
      <c r="H9" t="s">
        <v>99</v>
      </c>
      <c r="I9" t="s">
        <v>100</v>
      </c>
      <c r="J9" t="s">
        <v>101</v>
      </c>
      <c r="K9" t="s">
        <v>102</v>
      </c>
      <c r="L9" t="s">
        <v>527</v>
      </c>
      <c r="M9" t="s">
        <v>60</v>
      </c>
      <c r="N9" t="str" cm="1">
        <f t="array" ref="N9">getURL(Table1[[#This Row],[WIKIPEDIA_ARTICLE]],"")</f>
        <v>https://en.wikipedia.org/wiki/Phenthoate#</v>
      </c>
      <c r="O9" s="2" t="s">
        <v>59</v>
      </c>
      <c r="P9" s="3">
        <v>35.892200000000003</v>
      </c>
      <c r="Q9" t="s">
        <v>60</v>
      </c>
      <c r="R9" s="3">
        <v>9.9770000000000006E-9</v>
      </c>
      <c r="S9" s="3">
        <v>1.274</v>
      </c>
      <c r="T9" s="3">
        <v>0.51400000000000001</v>
      </c>
      <c r="U9" s="3">
        <v>9.0157099999999998E-6</v>
      </c>
      <c r="V9" s="3">
        <v>186.678</v>
      </c>
      <c r="W9" s="3">
        <v>20.975000000000001</v>
      </c>
      <c r="X9" s="3">
        <v>0.50900000000000001</v>
      </c>
      <c r="Y9" s="3">
        <v>2.04644E-4</v>
      </c>
      <c r="Z9" t="s">
        <v>60</v>
      </c>
      <c r="AA9" t="s">
        <v>60</v>
      </c>
      <c r="AB9" t="s">
        <v>60</v>
      </c>
      <c r="AC9" t="s">
        <v>60</v>
      </c>
      <c r="AD9" s="3">
        <v>6.2517300000000002E-6</v>
      </c>
      <c r="AE9" s="3">
        <v>5.8748900000000003E-5</v>
      </c>
      <c r="AF9" s="3">
        <v>1.9799400000000001E-11</v>
      </c>
      <c r="AG9" s="3">
        <v>48.9392</v>
      </c>
      <c r="AH9" s="3">
        <v>199.703</v>
      </c>
      <c r="AI9" s="3">
        <v>373.858</v>
      </c>
      <c r="AJ9" s="3">
        <v>1.40299E-7</v>
      </c>
      <c r="AK9" s="3">
        <v>0.17829600000000001</v>
      </c>
      <c r="AL9" s="3">
        <v>9.8783499999999993</v>
      </c>
      <c r="AM9" s="3">
        <v>996.88900000000001</v>
      </c>
      <c r="AN9" s="3">
        <v>3.6901600000000001</v>
      </c>
      <c r="AO9" s="3">
        <v>17.4437</v>
      </c>
      <c r="AP9" t="s">
        <v>60</v>
      </c>
      <c r="AQ9" t="s">
        <v>60</v>
      </c>
      <c r="AR9" s="3">
        <v>2.6141500000000002E-6</v>
      </c>
      <c r="AS9" s="3">
        <v>1.1023600000000001E-5</v>
      </c>
    </row>
    <row r="10" spans="1:45" s="1" customFormat="1" x14ac:dyDescent="0.25">
      <c r="A10" t="s">
        <v>103</v>
      </c>
      <c r="B10" t="s">
        <v>104</v>
      </c>
      <c r="C10" t="s">
        <v>530</v>
      </c>
      <c r="D10" s="2" t="s">
        <v>105</v>
      </c>
      <c r="E10" t="s">
        <v>106</v>
      </c>
      <c r="F10" s="2" t="s">
        <v>107</v>
      </c>
      <c r="G10" t="s">
        <v>108</v>
      </c>
      <c r="H10" t="s">
        <v>109</v>
      </c>
      <c r="I10" t="s">
        <v>110</v>
      </c>
      <c r="J10" t="s">
        <v>111</v>
      </c>
      <c r="K10" t="s">
        <v>112</v>
      </c>
      <c r="L10" t="s">
        <v>527</v>
      </c>
      <c r="M10" t="s">
        <v>60</v>
      </c>
      <c r="N10" t="str" cm="1">
        <f t="array" ref="N10">getURL(Table1[[#This Row],[WIKIPEDIA_ARTICLE]],"")</f>
        <v/>
      </c>
      <c r="O10" t="s">
        <v>60</v>
      </c>
      <c r="P10" t="s">
        <v>60</v>
      </c>
      <c r="Q10" t="s">
        <v>60</v>
      </c>
      <c r="R10" t="s">
        <v>60</v>
      </c>
      <c r="S10" t="s">
        <v>60</v>
      </c>
      <c r="T10" s="3">
        <v>0.54500000000000004</v>
      </c>
      <c r="U10" t="s">
        <v>60</v>
      </c>
      <c r="V10" t="s">
        <v>60</v>
      </c>
      <c r="W10" t="s">
        <v>60</v>
      </c>
      <c r="X10" t="s">
        <v>60</v>
      </c>
      <c r="Y10" t="s">
        <v>60</v>
      </c>
      <c r="Z10" t="s">
        <v>60</v>
      </c>
      <c r="AA10" t="s">
        <v>60</v>
      </c>
      <c r="AB10" t="s">
        <v>60</v>
      </c>
      <c r="AC10" t="s">
        <v>60</v>
      </c>
      <c r="AD10" t="s">
        <v>60</v>
      </c>
      <c r="AE10" t="s">
        <v>60</v>
      </c>
      <c r="AF10" s="3">
        <v>2.7064500000000001E-11</v>
      </c>
      <c r="AG10" s="3">
        <v>13.696</v>
      </c>
      <c r="AH10" s="3">
        <v>10.969099999999999</v>
      </c>
      <c r="AI10" s="3">
        <v>353.95499999999998</v>
      </c>
      <c r="AJ10" s="3">
        <v>1.8801899999999999E-9</v>
      </c>
      <c r="AK10" s="3">
        <v>0.18928</v>
      </c>
      <c r="AL10" s="3">
        <v>9.2240800000000007</v>
      </c>
      <c r="AM10" s="3">
        <v>2291.56</v>
      </c>
      <c r="AN10" s="3">
        <v>3.7738</v>
      </c>
      <c r="AO10" s="3">
        <v>169.91399999999999</v>
      </c>
      <c r="AP10" t="s">
        <v>60</v>
      </c>
      <c r="AQ10" t="s">
        <v>60</v>
      </c>
      <c r="AR10" s="3">
        <v>2.0043500000000001E-7</v>
      </c>
      <c r="AS10" s="3">
        <v>4.2790099999999999E-6</v>
      </c>
    </row>
    <row r="11" spans="1:45" x14ac:dyDescent="0.25">
      <c r="A11" t="s">
        <v>113</v>
      </c>
      <c r="B11" t="s">
        <v>85</v>
      </c>
      <c r="C11" t="s">
        <v>527</v>
      </c>
      <c r="L11" t="s">
        <v>527</v>
      </c>
      <c r="N11" t="str" cm="1">
        <f t="array" ref="N11">getURL(Table1[[#This Row],[WIKIPEDIA_ARTICLE]],"")</f>
        <v/>
      </c>
    </row>
    <row r="12" spans="1:45" s="1" customFormat="1" x14ac:dyDescent="0.25">
      <c r="A12" t="s">
        <v>114</v>
      </c>
      <c r="B12" t="s">
        <v>51</v>
      </c>
      <c r="C12" t="s">
        <v>531</v>
      </c>
      <c r="D12" s="2" t="s">
        <v>115</v>
      </c>
      <c r="E12" t="s">
        <v>114</v>
      </c>
      <c r="F12" s="2" t="s">
        <v>116</v>
      </c>
      <c r="G12" t="s">
        <v>117</v>
      </c>
      <c r="H12" t="s">
        <v>118</v>
      </c>
      <c r="I12" t="s">
        <v>119</v>
      </c>
      <c r="J12" t="s">
        <v>120</v>
      </c>
      <c r="K12" t="s">
        <v>121</v>
      </c>
      <c r="L12" t="s">
        <v>527</v>
      </c>
      <c r="M12" t="s">
        <v>60</v>
      </c>
      <c r="N12" t="str" cm="1">
        <f t="array" ref="N12">getURL(Table1[[#This Row],[WIKIPEDIA_ARTICLE]],"")</f>
        <v/>
      </c>
      <c r="O12" t="s">
        <v>60</v>
      </c>
      <c r="P12" s="3">
        <v>3.78443</v>
      </c>
      <c r="Q12" t="s">
        <v>60</v>
      </c>
      <c r="R12" s="3">
        <v>2.6853399999999999E-5</v>
      </c>
      <c r="S12" s="3">
        <v>1.282</v>
      </c>
      <c r="T12" s="3">
        <v>0.77700000000000002</v>
      </c>
      <c r="U12" s="3">
        <v>6.7142899999999997E-5</v>
      </c>
      <c r="V12" s="3">
        <v>203.803</v>
      </c>
      <c r="W12" s="3">
        <v>104.783</v>
      </c>
      <c r="X12" t="s">
        <v>60</v>
      </c>
      <c r="Y12" s="3">
        <v>1.2502600000000001E-4</v>
      </c>
      <c r="Z12" t="s">
        <v>60</v>
      </c>
      <c r="AA12" t="s">
        <v>60</v>
      </c>
      <c r="AB12" t="s">
        <v>60</v>
      </c>
      <c r="AC12" t="s">
        <v>60</v>
      </c>
      <c r="AD12" t="s">
        <v>60</v>
      </c>
      <c r="AE12" s="3">
        <v>1.7337999999999999E-2</v>
      </c>
      <c r="AF12" s="3">
        <v>1.6218099999999999E-11</v>
      </c>
      <c r="AG12" s="3">
        <v>8.0328999999999997</v>
      </c>
      <c r="AH12" s="3">
        <v>3.5317799999999999</v>
      </c>
      <c r="AI12" s="3">
        <v>319.14499999999998</v>
      </c>
      <c r="AJ12" s="3">
        <v>1.5351800000000001E-10</v>
      </c>
      <c r="AK12" s="3">
        <v>0.121778</v>
      </c>
      <c r="AL12" s="3">
        <v>10.6122</v>
      </c>
      <c r="AM12" s="3">
        <v>105.67</v>
      </c>
      <c r="AN12" s="3">
        <v>2.1229300000000002</v>
      </c>
      <c r="AO12" s="3">
        <v>117.59399999999999</v>
      </c>
      <c r="AP12" t="s">
        <v>60</v>
      </c>
      <c r="AQ12" t="s">
        <v>60</v>
      </c>
      <c r="AR12" s="3">
        <v>2.9687700000000002E-7</v>
      </c>
      <c r="AS12" s="3">
        <v>2.3622199999999999E-3</v>
      </c>
    </row>
    <row r="13" spans="1:45" s="1" customFormat="1" x14ac:dyDescent="0.25">
      <c r="A13" t="s">
        <v>122</v>
      </c>
      <c r="B13" t="s">
        <v>51</v>
      </c>
      <c r="C13" t="s">
        <v>532</v>
      </c>
      <c r="D13" s="2" t="s">
        <v>123</v>
      </c>
      <c r="E13" t="s">
        <v>122</v>
      </c>
      <c r="F13" s="2" t="s">
        <v>124</v>
      </c>
      <c r="G13" t="s">
        <v>125</v>
      </c>
      <c r="H13" t="s">
        <v>126</v>
      </c>
      <c r="I13" t="s">
        <v>127</v>
      </c>
      <c r="J13" t="s">
        <v>128</v>
      </c>
      <c r="K13" t="s">
        <v>129</v>
      </c>
      <c r="L13" t="s">
        <v>527</v>
      </c>
      <c r="M13" t="s">
        <v>60</v>
      </c>
      <c r="N13" t="str" cm="1">
        <f t="array" ref="N13">getURL(Table1[[#This Row],[WIKIPEDIA_ARTICLE]],"")</f>
        <v/>
      </c>
      <c r="O13" t="s">
        <v>60</v>
      </c>
      <c r="P13" s="3">
        <v>4.9090800000000003</v>
      </c>
      <c r="Q13" s="3">
        <v>355.88600000000002</v>
      </c>
      <c r="R13" s="3">
        <v>1.02565E-4</v>
      </c>
      <c r="S13" s="3">
        <v>1.236</v>
      </c>
      <c r="T13" s="3">
        <v>0.90600000000000003</v>
      </c>
      <c r="U13" s="3">
        <v>1.13501E-4</v>
      </c>
      <c r="V13" s="3">
        <v>191.447</v>
      </c>
      <c r="W13" s="3">
        <v>194.11699999999999</v>
      </c>
      <c r="X13" s="3">
        <v>0.151</v>
      </c>
      <c r="Y13" s="3">
        <v>1.5066100000000001E-2</v>
      </c>
      <c r="Z13" t="s">
        <v>60</v>
      </c>
      <c r="AA13" t="s">
        <v>60</v>
      </c>
      <c r="AB13" t="s">
        <v>60</v>
      </c>
      <c r="AC13" s="3">
        <v>79.250100000000003</v>
      </c>
      <c r="AD13" s="3">
        <v>4.2756300000000001E-9</v>
      </c>
      <c r="AE13" s="3">
        <v>1.6749399999999999E-4</v>
      </c>
      <c r="AF13" s="3">
        <v>1.79113E-11</v>
      </c>
      <c r="AG13" s="3">
        <v>3.9024399999999999</v>
      </c>
      <c r="AH13" s="3">
        <v>3.94536</v>
      </c>
      <c r="AI13" s="3">
        <v>338.274</v>
      </c>
      <c r="AJ13" s="3">
        <v>5.3113700000000001E-6</v>
      </c>
      <c r="AK13" s="3">
        <v>0.76391799999999999</v>
      </c>
      <c r="AL13" s="3">
        <v>9.1814400000000003</v>
      </c>
      <c r="AM13" s="3">
        <v>138.297</v>
      </c>
      <c r="AN13" s="3">
        <v>2.2332000000000001</v>
      </c>
      <c r="AO13" s="3">
        <v>315.65600000000001</v>
      </c>
      <c r="AP13" t="s">
        <v>60</v>
      </c>
      <c r="AQ13" t="s">
        <v>60</v>
      </c>
      <c r="AR13" s="3">
        <v>1.5142800000000001E-9</v>
      </c>
      <c r="AS13" s="3">
        <v>2.5985800000000001E-5</v>
      </c>
    </row>
    <row r="14" spans="1:45" s="1" customFormat="1" x14ac:dyDescent="0.25">
      <c r="A14" t="s">
        <v>130</v>
      </c>
      <c r="B14" t="s">
        <v>131</v>
      </c>
      <c r="C14" t="s">
        <v>533</v>
      </c>
      <c r="D14" s="2" t="s">
        <v>132</v>
      </c>
      <c r="E14" t="s">
        <v>130</v>
      </c>
      <c r="F14" s="2" t="s">
        <v>133</v>
      </c>
      <c r="G14" t="s">
        <v>134</v>
      </c>
      <c r="H14" t="s">
        <v>135</v>
      </c>
      <c r="I14" t="s">
        <v>136</v>
      </c>
      <c r="J14" t="s">
        <v>137</v>
      </c>
      <c r="K14" t="s">
        <v>138</v>
      </c>
      <c r="L14" t="s">
        <v>527</v>
      </c>
      <c r="M14" t="s">
        <v>60</v>
      </c>
      <c r="N14" t="str" cm="1">
        <f t="array" ref="N14">getURL(Table1[[#This Row],[WIKIPEDIA_ARTICLE]],"")</f>
        <v>https://en.wikipedia.org/wiki/Epoxiconazole#</v>
      </c>
      <c r="O14" s="2" t="s">
        <v>59</v>
      </c>
      <c r="P14" t="s">
        <v>60</v>
      </c>
      <c r="Q14" t="s">
        <v>60</v>
      </c>
      <c r="R14" t="s">
        <v>60</v>
      </c>
      <c r="S14" t="s">
        <v>60</v>
      </c>
      <c r="T14" t="s">
        <v>60</v>
      </c>
      <c r="U14" t="s">
        <v>60</v>
      </c>
      <c r="V14" t="s">
        <v>60</v>
      </c>
      <c r="W14" t="s">
        <v>60</v>
      </c>
      <c r="X14" t="s">
        <v>60</v>
      </c>
      <c r="Y14" t="s">
        <v>60</v>
      </c>
      <c r="Z14" t="s">
        <v>60</v>
      </c>
      <c r="AA14" t="s">
        <v>60</v>
      </c>
      <c r="AB14" t="s">
        <v>60</v>
      </c>
      <c r="AC14" t="s">
        <v>60</v>
      </c>
      <c r="AD14" t="s">
        <v>60</v>
      </c>
      <c r="AE14" t="s">
        <v>60</v>
      </c>
      <c r="AF14" t="s">
        <v>60</v>
      </c>
      <c r="AG14" t="s">
        <v>60</v>
      </c>
      <c r="AH14" t="s">
        <v>60</v>
      </c>
      <c r="AI14" t="s">
        <v>60</v>
      </c>
      <c r="AJ14" t="s">
        <v>60</v>
      </c>
      <c r="AK14" t="s">
        <v>60</v>
      </c>
      <c r="AL14" t="s">
        <v>60</v>
      </c>
      <c r="AM14" t="s">
        <v>60</v>
      </c>
      <c r="AN14" t="s">
        <v>60</v>
      </c>
      <c r="AO14" t="s">
        <v>60</v>
      </c>
      <c r="AP14" t="s">
        <v>60</v>
      </c>
      <c r="AQ14" t="s">
        <v>60</v>
      </c>
      <c r="AR14" t="s">
        <v>60</v>
      </c>
      <c r="AS14" t="s">
        <v>60</v>
      </c>
    </row>
    <row r="15" spans="1:45" s="1" customFormat="1" x14ac:dyDescent="0.25">
      <c r="A15" t="s">
        <v>130</v>
      </c>
      <c r="B15" t="s">
        <v>139</v>
      </c>
      <c r="C15" t="s">
        <v>534</v>
      </c>
      <c r="D15" s="2" t="s">
        <v>140</v>
      </c>
      <c r="E15" t="s">
        <v>141</v>
      </c>
      <c r="F15" s="2" t="s">
        <v>142</v>
      </c>
      <c r="G15" t="s">
        <v>143</v>
      </c>
      <c r="H15" t="s">
        <v>144</v>
      </c>
      <c r="I15" t="s">
        <v>60</v>
      </c>
      <c r="J15" t="s">
        <v>145</v>
      </c>
      <c r="K15" t="s">
        <v>146</v>
      </c>
      <c r="L15" t="s">
        <v>527</v>
      </c>
      <c r="M15" t="s">
        <v>60</v>
      </c>
      <c r="N15" t="str" cm="1">
        <f t="array" ref="N15">getURL(Table1[[#This Row],[WIKIPEDIA_ARTICLE]],"")</f>
        <v/>
      </c>
      <c r="O15" t="s">
        <v>60</v>
      </c>
      <c r="P15" s="3">
        <v>154.16999999999999</v>
      </c>
      <c r="Q15" s="3">
        <v>398.92399999999998</v>
      </c>
      <c r="R15" s="3">
        <v>7.8162800000000003E-6</v>
      </c>
      <c r="S15" s="3">
        <v>1.4410000000000001</v>
      </c>
      <c r="T15" s="3">
        <v>0.47499999999999998</v>
      </c>
      <c r="U15" s="3">
        <v>2.0606300000000001E-7</v>
      </c>
      <c r="V15" s="3">
        <v>260.536</v>
      </c>
      <c r="W15" s="3">
        <v>118.29900000000001</v>
      </c>
      <c r="X15" s="3">
        <v>0.41899999999999998</v>
      </c>
      <c r="Y15" t="s">
        <v>60</v>
      </c>
      <c r="Z15" t="s">
        <v>60</v>
      </c>
      <c r="AA15" t="s">
        <v>60</v>
      </c>
      <c r="AB15" t="s">
        <v>60</v>
      </c>
      <c r="AC15" t="s">
        <v>60</v>
      </c>
      <c r="AD15" s="3">
        <v>2.0137200000000001E-8</v>
      </c>
      <c r="AE15" s="3">
        <v>5.1168200000000002E-5</v>
      </c>
      <c r="AF15" s="3">
        <v>1.6214399999999998E-11</v>
      </c>
      <c r="AG15" s="3">
        <v>81.1614</v>
      </c>
      <c r="AH15" s="3">
        <v>3.5467900000000001</v>
      </c>
      <c r="AI15" s="3">
        <v>335.47699999999998</v>
      </c>
      <c r="AJ15" s="3">
        <v>3.13437E-6</v>
      </c>
      <c r="AK15" s="3">
        <v>0.495612</v>
      </c>
      <c r="AL15" s="3">
        <v>10.2041</v>
      </c>
      <c r="AM15" s="3">
        <v>303.71199999999999</v>
      </c>
      <c r="AN15" s="3">
        <v>3.4400900000000001</v>
      </c>
      <c r="AO15" s="3">
        <v>115.08199999999999</v>
      </c>
      <c r="AP15" t="s">
        <v>60</v>
      </c>
      <c r="AQ15" t="s">
        <v>60</v>
      </c>
      <c r="AR15" s="3">
        <v>2.4161800000000001E-7</v>
      </c>
      <c r="AS15" s="3">
        <v>1.4189099999999999E-5</v>
      </c>
    </row>
    <row r="16" spans="1:45" s="1" customFormat="1" x14ac:dyDescent="0.25">
      <c r="A16" t="s">
        <v>147</v>
      </c>
      <c r="B16" t="s">
        <v>51</v>
      </c>
      <c r="C16" t="s">
        <v>535</v>
      </c>
      <c r="D16" s="2" t="s">
        <v>148</v>
      </c>
      <c r="E16" t="s">
        <v>147</v>
      </c>
      <c r="F16" s="2" t="s">
        <v>149</v>
      </c>
      <c r="G16" t="s">
        <v>150</v>
      </c>
      <c r="H16" t="s">
        <v>151</v>
      </c>
      <c r="I16" t="s">
        <v>152</v>
      </c>
      <c r="J16" t="s">
        <v>153</v>
      </c>
      <c r="K16" t="s">
        <v>154</v>
      </c>
      <c r="L16" t="s">
        <v>527</v>
      </c>
      <c r="M16" t="s">
        <v>60</v>
      </c>
      <c r="N16" t="str" cm="1">
        <f t="array" ref="N16">getURL(Table1[[#This Row],[WIKIPEDIA_ARTICLE]],"")</f>
        <v>https://en.wikipedia.org/wiki/Fenoxycarb#</v>
      </c>
      <c r="O16" s="2" t="s">
        <v>59</v>
      </c>
      <c r="P16" s="3">
        <v>21.281400000000001</v>
      </c>
      <c r="Q16" s="3">
        <v>387.435</v>
      </c>
      <c r="R16" s="3">
        <v>3.7583699999999999E-6</v>
      </c>
      <c r="S16" s="3">
        <v>1.1990000000000001</v>
      </c>
      <c r="T16" s="3">
        <v>0.85799999999999998</v>
      </c>
      <c r="U16" s="3">
        <v>2.63633E-6</v>
      </c>
      <c r="V16" s="3">
        <v>237.46199999999999</v>
      </c>
      <c r="W16" s="3">
        <v>73.721000000000004</v>
      </c>
      <c r="X16" s="3">
        <v>0.63200000000000001</v>
      </c>
      <c r="Y16" s="3">
        <v>6.7142900000000004E-3</v>
      </c>
      <c r="Z16" t="s">
        <v>60</v>
      </c>
      <c r="AA16" t="s">
        <v>60</v>
      </c>
      <c r="AB16" t="s">
        <v>60</v>
      </c>
      <c r="AC16" t="s">
        <v>60</v>
      </c>
      <c r="AD16" s="3">
        <v>2.6181800000000002E-8</v>
      </c>
      <c r="AE16" s="3">
        <v>1.7988699999999999E-5</v>
      </c>
      <c r="AF16" s="3">
        <v>1.67418E-11</v>
      </c>
      <c r="AG16" s="3">
        <v>18.254100000000001</v>
      </c>
      <c r="AH16" s="3">
        <v>5.1460400000000002</v>
      </c>
      <c r="AI16" s="3">
        <v>315.07900000000001</v>
      </c>
      <c r="AJ16" s="3">
        <v>4.8589299999999999E-10</v>
      </c>
      <c r="AK16" s="3">
        <v>0.44500600000000001</v>
      </c>
      <c r="AL16" s="3">
        <v>10.9359</v>
      </c>
      <c r="AM16" s="3">
        <v>1000.64</v>
      </c>
      <c r="AN16" s="3">
        <v>4.2968599999999997</v>
      </c>
      <c r="AO16" s="3">
        <v>53.3842</v>
      </c>
      <c r="AP16" t="s">
        <v>60</v>
      </c>
      <c r="AQ16" t="s">
        <v>60</v>
      </c>
      <c r="AR16" s="3">
        <v>3.23655E-8</v>
      </c>
      <c r="AS16" s="3">
        <v>2.0839399999999999E-5</v>
      </c>
    </row>
    <row r="17" spans="1:45" s="1" customFormat="1" x14ac:dyDescent="0.25">
      <c r="A17" t="s">
        <v>155</v>
      </c>
      <c r="B17" t="s">
        <v>51</v>
      </c>
      <c r="C17" t="s">
        <v>536</v>
      </c>
      <c r="D17" s="2" t="s">
        <v>156</v>
      </c>
      <c r="E17" t="s">
        <v>155</v>
      </c>
      <c r="F17" s="2" t="s">
        <v>157</v>
      </c>
      <c r="G17" t="s">
        <v>158</v>
      </c>
      <c r="H17" t="s">
        <v>159</v>
      </c>
      <c r="I17" t="s">
        <v>160</v>
      </c>
      <c r="J17" t="s">
        <v>161</v>
      </c>
      <c r="K17" t="s">
        <v>162</v>
      </c>
      <c r="L17" t="s">
        <v>549</v>
      </c>
      <c r="M17" s="2" t="s">
        <v>59</v>
      </c>
      <c r="N17" t="str" cm="1">
        <f t="array" ref="N17">getURL(Table1[[#This Row],[WIKIPEDIA_ARTICLE]],"")</f>
        <v>https://en.wikipedia.org/wiki/Fenpropathrin#</v>
      </c>
      <c r="O17" s="2" t="s">
        <v>59</v>
      </c>
      <c r="P17" s="3">
        <v>744.73199999999997</v>
      </c>
      <c r="Q17" s="3">
        <v>414.90300000000002</v>
      </c>
      <c r="R17" s="3">
        <v>3.6643800000000001E-9</v>
      </c>
      <c r="S17" s="3">
        <v>1.135</v>
      </c>
      <c r="T17" s="3">
        <v>0.82499999999999996</v>
      </c>
      <c r="U17" s="3">
        <v>6.6680699999999997E-8</v>
      </c>
      <c r="V17" s="3">
        <v>222.96600000000001</v>
      </c>
      <c r="W17" s="3">
        <v>72.221999999999994</v>
      </c>
      <c r="X17" s="3">
        <v>0.248</v>
      </c>
      <c r="Y17" s="3">
        <v>4.7424199999999999E-4</v>
      </c>
      <c r="Z17" t="s">
        <v>60</v>
      </c>
      <c r="AA17" t="s">
        <v>60</v>
      </c>
      <c r="AB17" s="3">
        <v>1.2106000000000001E-5</v>
      </c>
      <c r="AC17" t="s">
        <v>60</v>
      </c>
      <c r="AD17" s="3">
        <v>1.09648E-8</v>
      </c>
      <c r="AE17" s="3">
        <v>2.2751E-7</v>
      </c>
      <c r="AF17" s="3">
        <v>2.4917099999999999E-11</v>
      </c>
      <c r="AG17" s="3">
        <v>217.70599999999999</v>
      </c>
      <c r="AH17" s="3">
        <v>3.5427</v>
      </c>
      <c r="AI17" s="3">
        <v>370.48899999999998</v>
      </c>
      <c r="AJ17" s="3">
        <v>1.0749100000000001E-7</v>
      </c>
      <c r="AK17" s="3">
        <v>1.2943800000000001</v>
      </c>
      <c r="AL17" s="3">
        <v>10.4579</v>
      </c>
      <c r="AM17" s="3">
        <v>17263.599999999999</v>
      </c>
      <c r="AN17" s="3">
        <v>5.6977799999999998</v>
      </c>
      <c r="AO17" s="3">
        <v>47.076099999999997</v>
      </c>
      <c r="AP17" t="s">
        <v>60</v>
      </c>
      <c r="AQ17" t="s">
        <v>60</v>
      </c>
      <c r="AR17" s="3">
        <v>3.4465099999999998E-6</v>
      </c>
      <c r="AS17" s="3">
        <v>2.1201999999999999E-7</v>
      </c>
    </row>
    <row r="18" spans="1:45" x14ac:dyDescent="0.25">
      <c r="A18" t="s">
        <v>163</v>
      </c>
      <c r="B18" t="s">
        <v>85</v>
      </c>
      <c r="C18" t="s">
        <v>527</v>
      </c>
      <c r="L18" t="s">
        <v>527</v>
      </c>
      <c r="N18" t="str" cm="1">
        <f t="array" ref="N18">getURL(Table1[[#This Row],[WIKIPEDIA_ARTICLE]],"")</f>
        <v/>
      </c>
    </row>
    <row r="19" spans="1:45" s="1" customFormat="1" x14ac:dyDescent="0.25">
      <c r="A19" t="s">
        <v>164</v>
      </c>
      <c r="B19" t="s">
        <v>165</v>
      </c>
      <c r="C19" t="s">
        <v>537</v>
      </c>
      <c r="D19" s="2" t="s">
        <v>166</v>
      </c>
      <c r="E19" t="s">
        <v>167</v>
      </c>
      <c r="F19" s="2" t="s">
        <v>168</v>
      </c>
      <c r="G19" t="s">
        <v>169</v>
      </c>
      <c r="H19" t="s">
        <v>170</v>
      </c>
      <c r="I19" t="s">
        <v>171</v>
      </c>
      <c r="J19" t="s">
        <v>172</v>
      </c>
      <c r="K19" t="s">
        <v>173</v>
      </c>
      <c r="L19" t="s">
        <v>527</v>
      </c>
      <c r="M19" t="s">
        <v>60</v>
      </c>
      <c r="N19" t="str" cm="1">
        <f t="array" ref="N19">getURL(Table1[[#This Row],[WIKIPEDIA_ARTICLE]],"")</f>
        <v/>
      </c>
      <c r="O19" t="s">
        <v>60</v>
      </c>
      <c r="P19" s="3">
        <v>132.739</v>
      </c>
      <c r="Q19" s="3">
        <v>445.68700000000001</v>
      </c>
      <c r="R19" s="3">
        <v>3.3884399999999999E-6</v>
      </c>
      <c r="S19" s="3">
        <v>1.3260000000000001</v>
      </c>
      <c r="T19" s="3">
        <v>0.48799999999999999</v>
      </c>
      <c r="U19" s="3">
        <v>6.1801599999999997E-7</v>
      </c>
      <c r="V19" s="3">
        <v>301.38600000000002</v>
      </c>
      <c r="W19" s="3">
        <v>126.017</v>
      </c>
      <c r="X19" s="3">
        <v>0.752</v>
      </c>
      <c r="Y19" s="3">
        <v>3.48337E-3</v>
      </c>
      <c r="Z19" t="s">
        <v>60</v>
      </c>
      <c r="AA19" t="s">
        <v>60</v>
      </c>
      <c r="AB19" t="s">
        <v>60</v>
      </c>
      <c r="AC19" t="s">
        <v>60</v>
      </c>
      <c r="AD19" s="3">
        <v>5.6623899999999999E-9</v>
      </c>
      <c r="AE19" s="3">
        <v>1.6595900000000001E-5</v>
      </c>
      <c r="AF19" s="3">
        <v>1.6669500000000001E-11</v>
      </c>
      <c r="AG19" s="3">
        <v>282.50099999999998</v>
      </c>
      <c r="AH19" s="3">
        <v>3.3538800000000002</v>
      </c>
      <c r="AI19" s="3">
        <v>349.411</v>
      </c>
      <c r="AJ19" s="3">
        <v>3.9316699999999996E-6</v>
      </c>
      <c r="AK19" s="3">
        <v>1.0345200000000001</v>
      </c>
      <c r="AL19" s="3">
        <v>10.092499999999999</v>
      </c>
      <c r="AM19" s="3">
        <v>891.16300000000001</v>
      </c>
      <c r="AN19" s="3">
        <v>3.2286000000000001</v>
      </c>
      <c r="AO19" s="3">
        <v>125.062</v>
      </c>
      <c r="AP19" t="s">
        <v>60</v>
      </c>
      <c r="AQ19" t="s">
        <v>60</v>
      </c>
      <c r="AR19" s="3">
        <v>3.7436700000000003E-8</v>
      </c>
      <c r="AS19" s="3">
        <v>1.12819E-6</v>
      </c>
    </row>
    <row r="20" spans="1:45" x14ac:dyDescent="0.25">
      <c r="A20" t="s">
        <v>174</v>
      </c>
      <c r="B20" t="s">
        <v>85</v>
      </c>
      <c r="C20" t="s">
        <v>527</v>
      </c>
      <c r="L20" t="s">
        <v>527</v>
      </c>
      <c r="N20" t="str" cm="1">
        <f t="array" ref="N20">getURL(Table1[[#This Row],[WIKIPEDIA_ARTICLE]],"")</f>
        <v/>
      </c>
    </row>
    <row r="21" spans="1:45" x14ac:dyDescent="0.25">
      <c r="A21" t="s">
        <v>175</v>
      </c>
      <c r="B21" t="s">
        <v>85</v>
      </c>
      <c r="C21" t="s">
        <v>527</v>
      </c>
      <c r="L21" t="s">
        <v>527</v>
      </c>
      <c r="N21" t="str" cm="1">
        <f t="array" ref="N21">getURL(Table1[[#This Row],[WIKIPEDIA_ARTICLE]],"")</f>
        <v/>
      </c>
    </row>
    <row r="22" spans="1:45" x14ac:dyDescent="0.25">
      <c r="A22" t="s">
        <v>176</v>
      </c>
      <c r="B22" t="s">
        <v>85</v>
      </c>
      <c r="C22" t="s">
        <v>527</v>
      </c>
      <c r="L22" t="s">
        <v>527</v>
      </c>
      <c r="N22" t="str" cm="1">
        <f t="array" ref="N22">getURL(Table1[[#This Row],[WIKIPEDIA_ARTICLE]],"")</f>
        <v/>
      </c>
    </row>
    <row r="23" spans="1:45" s="1" customFormat="1" x14ac:dyDescent="0.25">
      <c r="A23" t="s">
        <v>177</v>
      </c>
      <c r="B23" t="s">
        <v>51</v>
      </c>
      <c r="C23" t="s">
        <v>538</v>
      </c>
      <c r="D23" s="2" t="s">
        <v>178</v>
      </c>
      <c r="E23" t="s">
        <v>177</v>
      </c>
      <c r="F23" s="2" t="s">
        <v>179</v>
      </c>
      <c r="G23" t="s">
        <v>180</v>
      </c>
      <c r="H23" t="s">
        <v>181</v>
      </c>
      <c r="I23" t="s">
        <v>182</v>
      </c>
      <c r="J23" t="s">
        <v>183</v>
      </c>
      <c r="K23" t="s">
        <v>184</v>
      </c>
      <c r="L23" t="s">
        <v>527</v>
      </c>
      <c r="M23" t="s">
        <v>60</v>
      </c>
      <c r="N23" t="str" cm="1">
        <f t="array" ref="N23">getURL(Table1[[#This Row],[WIKIPEDIA_ARTICLE]],"")</f>
        <v/>
      </c>
      <c r="O23" t="s">
        <v>60</v>
      </c>
      <c r="P23" s="3">
        <v>24.6037</v>
      </c>
      <c r="Q23" t="s">
        <v>60</v>
      </c>
      <c r="R23" s="3">
        <v>1.41906E-7</v>
      </c>
      <c r="S23" s="3">
        <v>1.2889999999999999</v>
      </c>
      <c r="T23" s="3">
        <v>0.40500000000000003</v>
      </c>
      <c r="U23" s="3">
        <v>1.38357E-5</v>
      </c>
      <c r="V23" s="3">
        <v>192.08500000000001</v>
      </c>
      <c r="W23" s="3">
        <v>44.026000000000003</v>
      </c>
      <c r="X23" s="3">
        <v>4.7E-2</v>
      </c>
      <c r="Y23" s="3">
        <v>3.2434000000000002E-5</v>
      </c>
      <c r="Z23" t="s">
        <v>60</v>
      </c>
      <c r="AA23" t="s">
        <v>60</v>
      </c>
      <c r="AB23" t="s">
        <v>60</v>
      </c>
      <c r="AC23" t="s">
        <v>60</v>
      </c>
      <c r="AD23" s="3">
        <v>6.7452800000000006E-5</v>
      </c>
      <c r="AE23" s="3">
        <v>4.3351099999999997E-3</v>
      </c>
      <c r="AF23" s="3">
        <v>2.7418500000000001E-11</v>
      </c>
      <c r="AG23" s="3">
        <v>2.2775300000000001</v>
      </c>
      <c r="AH23" s="3">
        <v>142.029</v>
      </c>
      <c r="AI23" s="3">
        <v>311.81200000000001</v>
      </c>
      <c r="AJ23" s="3">
        <v>4.5171299999999999E-7</v>
      </c>
      <c r="AK23" s="3">
        <v>0.18518899999999999</v>
      </c>
      <c r="AL23" s="3">
        <v>9.9404000000000003</v>
      </c>
      <c r="AM23" s="3">
        <v>1094.79</v>
      </c>
      <c r="AN23" s="3">
        <v>1.7805800000000001</v>
      </c>
      <c r="AO23" s="3">
        <v>5.1669499999999999</v>
      </c>
      <c r="AP23" t="s">
        <v>60</v>
      </c>
      <c r="AQ23" t="s">
        <v>60</v>
      </c>
      <c r="AR23" s="3">
        <v>2.3032099999999999E-5</v>
      </c>
      <c r="AS23" s="3">
        <v>2.8819899999999999E-2</v>
      </c>
    </row>
    <row r="24" spans="1:45" x14ac:dyDescent="0.25">
      <c r="A24" t="s">
        <v>185</v>
      </c>
      <c r="B24" t="s">
        <v>85</v>
      </c>
      <c r="C24" t="s">
        <v>527</v>
      </c>
      <c r="L24" t="s">
        <v>527</v>
      </c>
      <c r="N24" t="str" cm="1">
        <f t="array" ref="N24">getURL(Table1[[#This Row],[WIKIPEDIA_ARTICLE]],"")</f>
        <v/>
      </c>
    </row>
    <row r="25" spans="1:45" s="1" customFormat="1" x14ac:dyDescent="0.25">
      <c r="A25" t="s">
        <v>186</v>
      </c>
      <c r="B25" t="s">
        <v>51</v>
      </c>
      <c r="C25" t="s">
        <v>539</v>
      </c>
      <c r="D25" s="2" t="s">
        <v>187</v>
      </c>
      <c r="E25" t="s">
        <v>186</v>
      </c>
      <c r="F25" s="2" t="s">
        <v>188</v>
      </c>
      <c r="G25" t="s">
        <v>189</v>
      </c>
      <c r="H25" t="s">
        <v>190</v>
      </c>
      <c r="I25" t="s">
        <v>191</v>
      </c>
      <c r="J25" t="s">
        <v>192</v>
      </c>
      <c r="K25" t="s">
        <v>193</v>
      </c>
      <c r="L25" t="s">
        <v>527</v>
      </c>
      <c r="M25" t="s">
        <v>60</v>
      </c>
      <c r="N25" t="str" cm="1">
        <f t="array" ref="N25">getURL(Table1[[#This Row],[WIKIPEDIA_ARTICLE]],"")</f>
        <v/>
      </c>
      <c r="O25" t="s">
        <v>60</v>
      </c>
      <c r="P25" s="3">
        <v>12.133900000000001</v>
      </c>
      <c r="Q25" t="s">
        <v>60</v>
      </c>
      <c r="R25" s="3">
        <v>1.48252E-7</v>
      </c>
      <c r="S25" s="3">
        <v>1.31</v>
      </c>
      <c r="T25" s="3">
        <v>0.42099999999999999</v>
      </c>
      <c r="U25" s="3">
        <v>1.30017E-5</v>
      </c>
      <c r="V25" s="3">
        <v>203.846</v>
      </c>
      <c r="W25" s="3">
        <v>31.491</v>
      </c>
      <c r="X25" s="3">
        <v>0.21</v>
      </c>
      <c r="Y25" s="3">
        <v>9.5060500000000002E-6</v>
      </c>
      <c r="Z25" t="s">
        <v>60</v>
      </c>
      <c r="AA25" t="s">
        <v>60</v>
      </c>
      <c r="AB25" t="s">
        <v>60</v>
      </c>
      <c r="AC25" t="s">
        <v>60</v>
      </c>
      <c r="AD25" s="3">
        <v>4.1020400000000001E-6</v>
      </c>
      <c r="AE25" s="3">
        <v>2.4154599999999999E-3</v>
      </c>
      <c r="AF25" s="3">
        <v>1.3149700000000001E-11</v>
      </c>
      <c r="AG25" s="3">
        <v>2.15951</v>
      </c>
      <c r="AH25" s="3">
        <v>140.816</v>
      </c>
      <c r="AI25" s="3">
        <v>326.66399999999999</v>
      </c>
      <c r="AJ25" s="3">
        <v>4.4153699999999999E-7</v>
      </c>
      <c r="AK25" s="3">
        <v>0.58537700000000004</v>
      </c>
      <c r="AL25" s="3">
        <v>8.6674900000000008</v>
      </c>
      <c r="AM25" s="3">
        <v>662.71</v>
      </c>
      <c r="AN25" s="3">
        <v>1.98973</v>
      </c>
      <c r="AO25" s="3">
        <v>38.403399999999998</v>
      </c>
      <c r="AP25" t="s">
        <v>60</v>
      </c>
      <c r="AQ25" t="s">
        <v>60</v>
      </c>
      <c r="AR25" s="3">
        <v>7.7812200000000007E-6</v>
      </c>
      <c r="AS25" s="3">
        <v>2.9481899999999998E-3</v>
      </c>
    </row>
    <row r="26" spans="1:45" x14ac:dyDescent="0.25">
      <c r="A26" t="s">
        <v>194</v>
      </c>
      <c r="B26" t="s">
        <v>85</v>
      </c>
      <c r="C26" t="s">
        <v>527</v>
      </c>
      <c r="L26" t="s">
        <v>527</v>
      </c>
      <c r="N26" t="str" cm="1">
        <f t="array" ref="N26">getURL(Table1[[#This Row],[WIKIPEDIA_ARTICLE]],"")</f>
        <v/>
      </c>
    </row>
    <row r="27" spans="1:45" x14ac:dyDescent="0.25">
      <c r="A27" t="s">
        <v>195</v>
      </c>
      <c r="B27" t="s">
        <v>85</v>
      </c>
      <c r="C27" t="s">
        <v>527</v>
      </c>
      <c r="L27" t="s">
        <v>527</v>
      </c>
      <c r="N27" t="str" cm="1">
        <f t="array" ref="N27">getURL(Table1[[#This Row],[WIKIPEDIA_ARTICLE]],"")</f>
        <v/>
      </c>
    </row>
    <row r="28" spans="1:45" s="1" customFormat="1" x14ac:dyDescent="0.25">
      <c r="A28" t="s">
        <v>196</v>
      </c>
      <c r="B28" t="s">
        <v>104</v>
      </c>
      <c r="C28" t="s">
        <v>540</v>
      </c>
      <c r="D28" s="2" t="s">
        <v>197</v>
      </c>
      <c r="E28" t="s">
        <v>198</v>
      </c>
      <c r="F28" s="2" t="s">
        <v>199</v>
      </c>
      <c r="G28" t="s">
        <v>200</v>
      </c>
      <c r="H28" t="s">
        <v>201</v>
      </c>
      <c r="I28" t="s">
        <v>202</v>
      </c>
      <c r="J28" t="s">
        <v>203</v>
      </c>
      <c r="K28" t="s">
        <v>204</v>
      </c>
      <c r="L28" t="s">
        <v>527</v>
      </c>
      <c r="M28" t="s">
        <v>60</v>
      </c>
      <c r="N28" t="str" cm="1">
        <f t="array" ref="N28">getURL(Table1[[#This Row],[WIKIPEDIA_ARTICLE]],"")</f>
        <v/>
      </c>
      <c r="O28" t="s">
        <v>60</v>
      </c>
      <c r="P28" s="3">
        <v>2027.68</v>
      </c>
      <c r="Q28" s="3">
        <v>366.58</v>
      </c>
      <c r="R28" s="3">
        <v>1.1455099999999999E-6</v>
      </c>
      <c r="S28" s="3">
        <v>1.4419999999999999</v>
      </c>
      <c r="T28" s="3">
        <v>0.52200000000000002</v>
      </c>
      <c r="U28" s="3">
        <v>3.6559500000000001E-7</v>
      </c>
      <c r="V28" s="3">
        <v>158.47900000000001</v>
      </c>
      <c r="W28" s="3">
        <v>104.82599999999999</v>
      </c>
      <c r="X28" s="3">
        <v>0.501</v>
      </c>
      <c r="Y28" s="3">
        <v>2.1777100000000001E-4</v>
      </c>
      <c r="Z28" t="s">
        <v>60</v>
      </c>
      <c r="AA28" s="3">
        <v>131.33099999999999</v>
      </c>
      <c r="AB28" s="3">
        <v>2.40436E-6</v>
      </c>
      <c r="AC28" t="s">
        <v>60</v>
      </c>
      <c r="AD28" s="3">
        <v>1.1324E-5</v>
      </c>
      <c r="AE28" s="3">
        <v>1.83654E-6</v>
      </c>
      <c r="AF28" s="3">
        <v>6.55211E-12</v>
      </c>
      <c r="AG28" s="3">
        <v>888.12199999999996</v>
      </c>
      <c r="AH28" s="3">
        <v>3.5503999999999998</v>
      </c>
      <c r="AI28" s="3">
        <v>353.858</v>
      </c>
      <c r="AJ28" s="3">
        <v>5.1007100000000002E-5</v>
      </c>
      <c r="AK28" s="3">
        <v>24.777799999999999</v>
      </c>
      <c r="AL28" s="3">
        <v>8.5271899999999992</v>
      </c>
      <c r="AM28" s="3">
        <v>34035.4</v>
      </c>
      <c r="AN28" s="3">
        <v>5.8411</v>
      </c>
      <c r="AO28" s="3">
        <v>132.57</v>
      </c>
      <c r="AP28" t="s">
        <v>60</v>
      </c>
      <c r="AQ28" t="s">
        <v>60</v>
      </c>
      <c r="AR28" s="3">
        <v>1.61148E-5</v>
      </c>
      <c r="AS28" s="3">
        <v>8.4255900000000005E-8</v>
      </c>
    </row>
    <row r="29" spans="1:45" x14ac:dyDescent="0.25">
      <c r="A29" t="s">
        <v>205</v>
      </c>
      <c r="B29" t="s">
        <v>85</v>
      </c>
      <c r="C29" t="s">
        <v>527</v>
      </c>
      <c r="L29" t="s">
        <v>527</v>
      </c>
      <c r="N29" t="str" cm="1">
        <f t="array" ref="N29">getURL(Table1[[#This Row],[WIKIPEDIA_ARTICLE]],"")</f>
        <v/>
      </c>
    </row>
    <row r="30" spans="1:45" x14ac:dyDescent="0.25">
      <c r="A30" t="s">
        <v>206</v>
      </c>
      <c r="B30" t="s">
        <v>85</v>
      </c>
      <c r="C30" t="s">
        <v>527</v>
      </c>
      <c r="L30" t="s">
        <v>527</v>
      </c>
      <c r="N30" t="str" cm="1">
        <f t="array" ref="N30">getURL(Table1[[#This Row],[WIKIPEDIA_ARTICLE]],"")</f>
        <v/>
      </c>
    </row>
    <row r="31" spans="1:45" s="1" customFormat="1" x14ac:dyDescent="0.25">
      <c r="A31" t="s">
        <v>207</v>
      </c>
      <c r="B31" t="s">
        <v>104</v>
      </c>
      <c r="C31" t="s">
        <v>541</v>
      </c>
      <c r="D31" s="2" t="s">
        <v>208</v>
      </c>
      <c r="E31" t="s">
        <v>209</v>
      </c>
      <c r="F31" s="2" t="s">
        <v>210</v>
      </c>
      <c r="G31" t="s">
        <v>211</v>
      </c>
      <c r="H31" t="s">
        <v>212</v>
      </c>
      <c r="I31" t="s">
        <v>213</v>
      </c>
      <c r="J31" t="s">
        <v>214</v>
      </c>
      <c r="K31" t="s">
        <v>215</v>
      </c>
      <c r="L31" t="s">
        <v>527</v>
      </c>
      <c r="M31" t="s">
        <v>60</v>
      </c>
      <c r="N31" t="str" cm="1">
        <f t="array" ref="N31">getURL(Table1[[#This Row],[WIKIPEDIA_ARTICLE]],"")</f>
        <v/>
      </c>
      <c r="O31" t="s">
        <v>60</v>
      </c>
      <c r="P31" s="3">
        <v>188.79900000000001</v>
      </c>
      <c r="Q31" s="3">
        <v>366.59500000000003</v>
      </c>
      <c r="R31" s="3">
        <v>2.6424100000000002E-6</v>
      </c>
      <c r="S31" s="3">
        <v>1.7689999999999999</v>
      </c>
      <c r="T31" t="s">
        <v>60</v>
      </c>
      <c r="U31" s="3">
        <v>2.8774000000000002E-6</v>
      </c>
      <c r="V31" s="3">
        <v>167.46</v>
      </c>
      <c r="W31" s="3">
        <v>143.84399999999999</v>
      </c>
      <c r="X31" s="3">
        <v>0.42299999999999999</v>
      </c>
      <c r="Y31" s="3">
        <v>3.8459200000000001E-4</v>
      </c>
      <c r="Z31" t="s">
        <v>60</v>
      </c>
      <c r="AA31" t="s">
        <v>60</v>
      </c>
      <c r="AB31" s="3">
        <v>1.5667499999999999E-5</v>
      </c>
      <c r="AC31" s="3">
        <v>15.205500000000001</v>
      </c>
      <c r="AD31" s="3">
        <v>9.9999999999999995E-7</v>
      </c>
      <c r="AE31" s="3">
        <v>4.67735E-7</v>
      </c>
      <c r="AF31" s="3">
        <v>2.3313500000000002E-12</v>
      </c>
      <c r="AG31" s="3">
        <v>563.35900000000004</v>
      </c>
      <c r="AH31" s="3">
        <v>11.9772</v>
      </c>
      <c r="AI31" s="3">
        <v>394.85</v>
      </c>
      <c r="AJ31" s="3">
        <v>1.99549E-8</v>
      </c>
      <c r="AK31" s="3">
        <v>0.27885500000000002</v>
      </c>
      <c r="AL31" s="3">
        <v>8.6107499999999995</v>
      </c>
      <c r="AM31" s="3">
        <v>3072.1</v>
      </c>
      <c r="AN31" s="3">
        <v>4.4702799999999998</v>
      </c>
      <c r="AO31" s="3">
        <v>176.55699999999999</v>
      </c>
      <c r="AP31" t="s">
        <v>60</v>
      </c>
      <c r="AQ31" t="s">
        <v>60</v>
      </c>
      <c r="AR31" s="3">
        <v>7.5102199999999996E-7</v>
      </c>
      <c r="AS31" s="3">
        <v>1.72767E-5</v>
      </c>
    </row>
    <row r="32" spans="1:45" s="1" customFormat="1" x14ac:dyDescent="0.25">
      <c r="A32" t="s">
        <v>216</v>
      </c>
      <c r="B32" t="s">
        <v>51</v>
      </c>
      <c r="C32" t="s">
        <v>542</v>
      </c>
      <c r="D32" s="2" t="s">
        <v>217</v>
      </c>
      <c r="E32" t="s">
        <v>216</v>
      </c>
      <c r="F32" s="2" t="s">
        <v>218</v>
      </c>
      <c r="G32" t="s">
        <v>219</v>
      </c>
      <c r="H32" t="s">
        <v>220</v>
      </c>
      <c r="I32" t="s">
        <v>221</v>
      </c>
      <c r="J32" t="s">
        <v>222</v>
      </c>
      <c r="K32" t="s">
        <v>223</v>
      </c>
      <c r="L32" t="s">
        <v>527</v>
      </c>
      <c r="M32" t="s">
        <v>60</v>
      </c>
      <c r="N32" t="str" cm="1">
        <f t="array" ref="N32">getURL(Table1[[#This Row],[WIKIPEDIA_ARTICLE]],"")</f>
        <v>https://en.wikipedia.org/wiki/Cyproconazole#</v>
      </c>
      <c r="O32" s="2" t="s">
        <v>59</v>
      </c>
      <c r="P32" s="3">
        <v>118.85</v>
      </c>
      <c r="Q32" s="3">
        <v>365.39800000000002</v>
      </c>
      <c r="R32" s="3">
        <v>7.9799499999999994E-5</v>
      </c>
      <c r="S32" s="3">
        <v>1.2929999999999999</v>
      </c>
      <c r="T32" s="3">
        <v>0.58399999999999996</v>
      </c>
      <c r="U32" s="3">
        <v>6.1944100000000002E-7</v>
      </c>
      <c r="V32" s="3">
        <v>239.32900000000001</v>
      </c>
      <c r="W32" s="3">
        <v>107.833</v>
      </c>
      <c r="X32" s="3">
        <v>0.66400000000000003</v>
      </c>
      <c r="Y32" s="3">
        <v>4.6025700000000003E-3</v>
      </c>
      <c r="Z32" t="s">
        <v>60</v>
      </c>
      <c r="AA32" t="s">
        <v>60</v>
      </c>
      <c r="AB32" t="s">
        <v>60</v>
      </c>
      <c r="AC32" t="s">
        <v>60</v>
      </c>
      <c r="AD32" s="3">
        <v>5.2480700000000002E-8</v>
      </c>
      <c r="AE32" s="3">
        <v>2.8973399999999999E-4</v>
      </c>
      <c r="AF32" s="3">
        <v>1.6637500000000001E-11</v>
      </c>
      <c r="AG32" s="3">
        <v>43.151600000000002</v>
      </c>
      <c r="AH32" s="3">
        <v>3.4483100000000002</v>
      </c>
      <c r="AI32" s="3">
        <v>321.42200000000003</v>
      </c>
      <c r="AJ32" s="3">
        <v>5.4760199999999997E-10</v>
      </c>
      <c r="AK32" s="3">
        <v>3.9709099999999999</v>
      </c>
      <c r="AL32" s="3">
        <v>10.658200000000001</v>
      </c>
      <c r="AM32" s="3">
        <v>182.12</v>
      </c>
      <c r="AN32" s="3">
        <v>2.90198</v>
      </c>
      <c r="AO32" s="3">
        <v>107.54300000000001</v>
      </c>
      <c r="AP32" t="s">
        <v>60</v>
      </c>
      <c r="AQ32" t="s">
        <v>60</v>
      </c>
      <c r="AR32" s="3">
        <v>2.6059799999999999E-7</v>
      </c>
      <c r="AS32" s="3">
        <v>4.2912899999999999E-4</v>
      </c>
    </row>
    <row r="33" spans="1:45" x14ac:dyDescent="0.25">
      <c r="A33" t="s">
        <v>224</v>
      </c>
      <c r="B33" t="s">
        <v>85</v>
      </c>
      <c r="C33" t="s">
        <v>527</v>
      </c>
      <c r="L33" t="s">
        <v>527</v>
      </c>
      <c r="N33" t="str" cm="1">
        <f t="array" ref="N33">getURL(Table1[[#This Row],[WIKIPEDIA_ARTICLE]],"")</f>
        <v/>
      </c>
    </row>
    <row r="34" spans="1:45" s="1" customFormat="1" x14ac:dyDescent="0.25">
      <c r="A34" t="s">
        <v>225</v>
      </c>
      <c r="B34" t="s">
        <v>51</v>
      </c>
      <c r="C34" t="s">
        <v>543</v>
      </c>
      <c r="D34" s="2" t="s">
        <v>226</v>
      </c>
      <c r="E34" t="s">
        <v>225</v>
      </c>
      <c r="F34" s="2" t="s">
        <v>227</v>
      </c>
      <c r="G34" t="s">
        <v>228</v>
      </c>
      <c r="H34" t="s">
        <v>229</v>
      </c>
      <c r="I34" t="s">
        <v>230</v>
      </c>
      <c r="J34" t="s">
        <v>231</v>
      </c>
      <c r="K34" t="s">
        <v>232</v>
      </c>
      <c r="L34" t="s">
        <v>527</v>
      </c>
      <c r="M34" t="s">
        <v>60</v>
      </c>
      <c r="N34" t="str" cm="1">
        <f t="array" ref="N34">getURL(Table1[[#This Row],[WIKIPEDIA_ARTICLE]],"")</f>
        <v/>
      </c>
      <c r="O34" t="s">
        <v>60</v>
      </c>
      <c r="P34" t="s">
        <v>60</v>
      </c>
      <c r="Q34" t="s">
        <v>60</v>
      </c>
      <c r="R34" t="s">
        <v>60</v>
      </c>
      <c r="S34" t="s">
        <v>60</v>
      </c>
      <c r="T34" t="s">
        <v>60</v>
      </c>
      <c r="U34" t="s">
        <v>60</v>
      </c>
      <c r="V34" t="s">
        <v>60</v>
      </c>
      <c r="W34" t="s">
        <v>60</v>
      </c>
      <c r="X34" t="s">
        <v>60</v>
      </c>
      <c r="Y34" t="s">
        <v>60</v>
      </c>
      <c r="Z34" t="s">
        <v>60</v>
      </c>
      <c r="AA34" t="s">
        <v>60</v>
      </c>
      <c r="AB34" t="s">
        <v>60</v>
      </c>
      <c r="AC34" t="s">
        <v>60</v>
      </c>
      <c r="AD34" t="s">
        <v>60</v>
      </c>
      <c r="AE34" t="s">
        <v>60</v>
      </c>
      <c r="AF34" s="3">
        <v>1.37832E-11</v>
      </c>
      <c r="AG34" s="3">
        <v>18.438700000000001</v>
      </c>
      <c r="AH34" s="3">
        <v>3.3382800000000001</v>
      </c>
      <c r="AI34" s="3">
        <v>331.98</v>
      </c>
      <c r="AJ34" s="3">
        <v>3.4481699999999998E-10</v>
      </c>
      <c r="AK34" s="3">
        <v>0.111319</v>
      </c>
      <c r="AL34" s="3">
        <v>11.402200000000001</v>
      </c>
      <c r="AM34" s="3">
        <v>149.19300000000001</v>
      </c>
      <c r="AN34" s="3">
        <v>2.0865</v>
      </c>
      <c r="AO34" s="3">
        <v>170.42400000000001</v>
      </c>
      <c r="AP34" t="s">
        <v>60</v>
      </c>
      <c r="AQ34" t="s">
        <v>60</v>
      </c>
      <c r="AR34" s="3">
        <v>1.06981E-7</v>
      </c>
      <c r="AS34" s="3">
        <v>3.8746599999999999E-4</v>
      </c>
    </row>
    <row r="35" spans="1:45" x14ac:dyDescent="0.25">
      <c r="A35" t="s">
        <v>233</v>
      </c>
      <c r="B35" t="s">
        <v>85</v>
      </c>
      <c r="C35" t="s">
        <v>527</v>
      </c>
      <c r="L35" t="s">
        <v>527</v>
      </c>
      <c r="N35" t="str" cm="1">
        <f t="array" ref="N35">getURL(Table1[[#This Row],[WIKIPEDIA_ARTICLE]],"")</f>
        <v/>
      </c>
    </row>
    <row r="36" spans="1:45" s="1" customFormat="1" x14ac:dyDescent="0.25">
      <c r="A36" t="s">
        <v>234</v>
      </c>
      <c r="B36" t="s">
        <v>104</v>
      </c>
      <c r="C36" t="s">
        <v>544</v>
      </c>
      <c r="D36" s="2" t="s">
        <v>235</v>
      </c>
      <c r="E36" t="s">
        <v>236</v>
      </c>
      <c r="F36" s="2" t="s">
        <v>237</v>
      </c>
      <c r="G36" t="s">
        <v>238</v>
      </c>
      <c r="H36" t="s">
        <v>239</v>
      </c>
      <c r="I36" t="s">
        <v>240</v>
      </c>
      <c r="J36" t="s">
        <v>241</v>
      </c>
      <c r="K36" t="s">
        <v>242</v>
      </c>
      <c r="L36" t="s">
        <v>527</v>
      </c>
      <c r="M36" t="s">
        <v>60</v>
      </c>
      <c r="N36" t="str" cm="1">
        <f t="array" ref="N36">getURL(Table1[[#This Row],[WIKIPEDIA_ARTICLE]],"")</f>
        <v/>
      </c>
      <c r="O36" t="s">
        <v>60</v>
      </c>
      <c r="P36" s="3">
        <v>131.52199999999999</v>
      </c>
      <c r="Q36" s="3">
        <v>389.036</v>
      </c>
      <c r="R36" s="3">
        <v>1.1324E-5</v>
      </c>
      <c r="S36" s="3">
        <v>1.2470000000000001</v>
      </c>
      <c r="T36" s="3">
        <v>0.83699999999999997</v>
      </c>
      <c r="U36" s="3">
        <v>2.9853800000000001E-6</v>
      </c>
      <c r="V36" s="3">
        <v>206.03200000000001</v>
      </c>
      <c r="W36" s="3">
        <v>120.176</v>
      </c>
      <c r="X36" s="3">
        <v>5.2999999999999999E-2</v>
      </c>
      <c r="Y36" s="3">
        <v>1.38038E-2</v>
      </c>
      <c r="Z36" t="s">
        <v>60</v>
      </c>
      <c r="AA36" s="3">
        <v>143.74700000000001</v>
      </c>
      <c r="AB36" s="3">
        <v>3.2508700000000003E-5</v>
      </c>
      <c r="AC36" t="s">
        <v>60</v>
      </c>
      <c r="AD36" s="3">
        <v>1.60694E-7</v>
      </c>
      <c r="AE36" s="3">
        <v>6.5313099999999996E-5</v>
      </c>
      <c r="AF36" s="3">
        <v>5.2789600000000001E-11</v>
      </c>
      <c r="AG36" s="3">
        <v>12.831300000000001</v>
      </c>
      <c r="AH36" s="3">
        <v>14.3771</v>
      </c>
      <c r="AI36" s="3">
        <v>338.61500000000001</v>
      </c>
      <c r="AJ36" s="3">
        <v>4.32264E-10</v>
      </c>
      <c r="AK36" s="3">
        <v>1.8035399999999999</v>
      </c>
      <c r="AL36" s="3">
        <v>10.525600000000001</v>
      </c>
      <c r="AM36" s="3">
        <v>602.09400000000005</v>
      </c>
      <c r="AN36" s="3">
        <v>3.6997</v>
      </c>
      <c r="AO36" s="3">
        <v>71.016300000000001</v>
      </c>
      <c r="AP36" t="s">
        <v>60</v>
      </c>
      <c r="AQ36" t="s">
        <v>60</v>
      </c>
      <c r="AR36" s="3">
        <v>6.5427999999999995E-8</v>
      </c>
      <c r="AS36" s="3">
        <v>1.29629E-4</v>
      </c>
    </row>
    <row r="37" spans="1:45" x14ac:dyDescent="0.25">
      <c r="A37" t="s">
        <v>243</v>
      </c>
      <c r="B37" t="s">
        <v>85</v>
      </c>
      <c r="C37" t="s">
        <v>527</v>
      </c>
      <c r="L37" t="s">
        <v>527</v>
      </c>
      <c r="N37" t="str" cm="1">
        <f t="array" ref="N37">getURL(Table1[[#This Row],[WIKIPEDIA_ARTICLE]],"")</f>
        <v/>
      </c>
    </row>
    <row r="38" spans="1:45" x14ac:dyDescent="0.25">
      <c r="A38" t="s">
        <v>244</v>
      </c>
      <c r="B38" t="s">
        <v>85</v>
      </c>
      <c r="C38" t="s">
        <v>527</v>
      </c>
      <c r="L38" t="s">
        <v>527</v>
      </c>
      <c r="N38" t="str" cm="1">
        <f t="array" ref="N38">getURL(Table1[[#This Row],[WIKIPEDIA_ARTICLE]],"")</f>
        <v/>
      </c>
    </row>
    <row r="39" spans="1:45" x14ac:dyDescent="0.25">
      <c r="A39" t="s">
        <v>245</v>
      </c>
      <c r="B39" t="s">
        <v>85</v>
      </c>
      <c r="C39" t="s">
        <v>527</v>
      </c>
      <c r="L39" t="s">
        <v>527</v>
      </c>
      <c r="N39" t="str" cm="1">
        <f t="array" ref="N39">getURL(Table1[[#This Row],[WIKIPEDIA_ARTICLE]],"")</f>
        <v/>
      </c>
    </row>
    <row r="40" spans="1:45" x14ac:dyDescent="0.25">
      <c r="A40" t="s">
        <v>246</v>
      </c>
      <c r="B40" t="s">
        <v>85</v>
      </c>
      <c r="C40" t="s">
        <v>527</v>
      </c>
      <c r="L40" t="s">
        <v>527</v>
      </c>
      <c r="N40" t="str" cm="1">
        <f t="array" ref="N40">getURL(Table1[[#This Row],[WIKIPEDIA_ARTICLE]],"")</f>
        <v/>
      </c>
    </row>
    <row r="41" spans="1:45" x14ac:dyDescent="0.25">
      <c r="A41" t="s">
        <v>247</v>
      </c>
      <c r="B41" t="s">
        <v>85</v>
      </c>
      <c r="C41" t="s">
        <v>527</v>
      </c>
      <c r="L41" t="s">
        <v>527</v>
      </c>
      <c r="N41" t="str" cm="1">
        <f t="array" ref="N41">getURL(Table1[[#This Row],[WIKIPEDIA_ARTICLE]],"")</f>
        <v/>
      </c>
    </row>
    <row r="42" spans="1:45" x14ac:dyDescent="0.25">
      <c r="A42" t="s">
        <v>248</v>
      </c>
      <c r="B42" t="s">
        <v>85</v>
      </c>
      <c r="C42" t="s">
        <v>527</v>
      </c>
      <c r="L42" t="s">
        <v>527</v>
      </c>
      <c r="N42" t="str" cm="1">
        <f t="array" ref="N42">getURL(Table1[[#This Row],[WIKIPEDIA_ARTICLE]],"")</f>
        <v/>
      </c>
    </row>
    <row r="43" spans="1:45" x14ac:dyDescent="0.25">
      <c r="A43" t="s">
        <v>249</v>
      </c>
      <c r="B43" t="s">
        <v>85</v>
      </c>
      <c r="C43" t="s">
        <v>527</v>
      </c>
      <c r="L43" t="s">
        <v>527</v>
      </c>
      <c r="N43" t="str" cm="1">
        <f t="array" ref="N43">getURL(Table1[[#This Row],[WIKIPEDIA_ARTICLE]],"")</f>
        <v/>
      </c>
    </row>
    <row r="44" spans="1:45" x14ac:dyDescent="0.25">
      <c r="A44" t="s">
        <v>250</v>
      </c>
      <c r="B44" t="s">
        <v>85</v>
      </c>
      <c r="C44" t="s">
        <v>527</v>
      </c>
      <c r="L44" t="s">
        <v>527</v>
      </c>
      <c r="N44" t="str" cm="1">
        <f t="array" ref="N44">getURL(Table1[[#This Row],[WIKIPEDIA_ARTICLE]],"")</f>
        <v/>
      </c>
    </row>
    <row r="45" spans="1:45" x14ac:dyDescent="0.25">
      <c r="A45" t="s">
        <v>251</v>
      </c>
      <c r="B45" t="s">
        <v>85</v>
      </c>
      <c r="C45" t="s">
        <v>527</v>
      </c>
      <c r="L45" t="s">
        <v>527</v>
      </c>
      <c r="N45" t="str" cm="1">
        <f t="array" ref="N45">getURL(Table1[[#This Row],[WIKIPEDIA_ARTICLE]],"")</f>
        <v/>
      </c>
    </row>
    <row r="46" spans="1:45" x14ac:dyDescent="0.25">
      <c r="A46" t="s">
        <v>252</v>
      </c>
      <c r="B46" t="s">
        <v>85</v>
      </c>
      <c r="C46" t="s">
        <v>527</v>
      </c>
      <c r="L46" t="s">
        <v>527</v>
      </c>
      <c r="N46" t="str" cm="1">
        <f t="array" ref="N46">getURL(Table1[[#This Row],[WIKIPEDIA_ARTICLE]],"")</f>
        <v/>
      </c>
    </row>
    <row r="47" spans="1:45" x14ac:dyDescent="0.25">
      <c r="A47" t="s">
        <v>253</v>
      </c>
      <c r="B47" t="s">
        <v>85</v>
      </c>
      <c r="C47" t="s">
        <v>527</v>
      </c>
      <c r="L47" t="s">
        <v>527</v>
      </c>
      <c r="N47" t="str" cm="1">
        <f t="array" ref="N47">getURL(Table1[[#This Row],[WIKIPEDIA_ARTICLE]],"")</f>
        <v/>
      </c>
    </row>
    <row r="48" spans="1:45" x14ac:dyDescent="0.25">
      <c r="A48" t="s">
        <v>254</v>
      </c>
      <c r="B48" t="s">
        <v>85</v>
      </c>
      <c r="C48" t="s">
        <v>527</v>
      </c>
      <c r="L48" t="s">
        <v>527</v>
      </c>
      <c r="N48" t="str" cm="1">
        <f t="array" ref="N48">getURL(Table1[[#This Row],[WIKIPEDIA_ARTICLE]],"")</f>
        <v/>
      </c>
    </row>
    <row r="49" spans="1:45" x14ac:dyDescent="0.25">
      <c r="A49" t="s">
        <v>255</v>
      </c>
      <c r="B49" t="s">
        <v>85</v>
      </c>
      <c r="C49" t="s">
        <v>527</v>
      </c>
      <c r="L49" t="s">
        <v>527</v>
      </c>
      <c r="N49" t="str" cm="1">
        <f t="array" ref="N49">getURL(Table1[[#This Row],[WIKIPEDIA_ARTICLE]],"")</f>
        <v/>
      </c>
    </row>
    <row r="50" spans="1:45" x14ac:dyDescent="0.25">
      <c r="A50" t="s">
        <v>256</v>
      </c>
      <c r="B50" t="s">
        <v>85</v>
      </c>
      <c r="C50" t="s">
        <v>527</v>
      </c>
      <c r="L50" t="s">
        <v>527</v>
      </c>
      <c r="N50" t="str" cm="1">
        <f t="array" ref="N50">getURL(Table1[[#This Row],[WIKIPEDIA_ARTICLE]],"")</f>
        <v/>
      </c>
    </row>
    <row r="51" spans="1:45" x14ac:dyDescent="0.25">
      <c r="A51" t="s">
        <v>257</v>
      </c>
      <c r="B51" t="s">
        <v>85</v>
      </c>
      <c r="C51" t="s">
        <v>527</v>
      </c>
      <c r="L51" t="s">
        <v>527</v>
      </c>
      <c r="N51" t="str" cm="1">
        <f t="array" ref="N51">getURL(Table1[[#This Row],[WIKIPEDIA_ARTICLE]],"")</f>
        <v/>
      </c>
    </row>
    <row r="52" spans="1:45" s="1" customFormat="1" x14ac:dyDescent="0.25">
      <c r="A52" t="s">
        <v>258</v>
      </c>
      <c r="B52" t="s">
        <v>51</v>
      </c>
      <c r="C52" t="s">
        <v>545</v>
      </c>
      <c r="D52" s="2" t="s">
        <v>259</v>
      </c>
      <c r="E52" t="s">
        <v>260</v>
      </c>
      <c r="F52" s="2" t="s">
        <v>261</v>
      </c>
      <c r="G52" t="s">
        <v>262</v>
      </c>
      <c r="H52" t="s">
        <v>263</v>
      </c>
      <c r="I52" t="s">
        <v>264</v>
      </c>
      <c r="J52" t="s">
        <v>265</v>
      </c>
      <c r="K52" t="s">
        <v>266</v>
      </c>
      <c r="L52" t="s">
        <v>527</v>
      </c>
      <c r="M52" t="s">
        <v>60</v>
      </c>
      <c r="N52" t="str" cm="1">
        <f t="array" ref="N52">getURL(Table1[[#This Row],[WIKIPEDIA_ARTICLE]],"")</f>
        <v/>
      </c>
      <c r="O52" t="s">
        <v>60</v>
      </c>
      <c r="P52" s="3">
        <v>4613.18</v>
      </c>
      <c r="Q52" s="3">
        <v>397.32</v>
      </c>
      <c r="R52" s="3">
        <v>2.5526999999999998E-7</v>
      </c>
      <c r="S52" s="3">
        <v>1.641</v>
      </c>
      <c r="T52" s="3">
        <v>0.497</v>
      </c>
      <c r="U52" s="3">
        <v>3.1988999999999999E-7</v>
      </c>
      <c r="V52" s="3">
        <v>162.01</v>
      </c>
      <c r="W52" s="3">
        <v>185.68799999999999</v>
      </c>
      <c r="X52" s="3">
        <v>0.155</v>
      </c>
      <c r="Y52" s="3">
        <v>2.4547099999999998E-6</v>
      </c>
      <c r="Z52" t="s">
        <v>60</v>
      </c>
      <c r="AA52" s="3">
        <v>117.431</v>
      </c>
      <c r="AB52" s="3">
        <v>1.25314E-6</v>
      </c>
      <c r="AC52" t="s">
        <v>60</v>
      </c>
      <c r="AD52" s="3">
        <v>4.8083900000000002E-9</v>
      </c>
      <c r="AE52" s="3">
        <v>2.4603699999999998E-9</v>
      </c>
      <c r="AF52" s="3">
        <v>2.1514500000000001E-12</v>
      </c>
      <c r="AG52" s="3">
        <v>7255.23</v>
      </c>
      <c r="AH52" s="3">
        <v>13.069800000000001</v>
      </c>
      <c r="AI52" s="3">
        <v>384.81200000000001</v>
      </c>
      <c r="AJ52" s="3">
        <v>1.3949400000000001E-5</v>
      </c>
      <c r="AK52" s="3">
        <v>14.471</v>
      </c>
      <c r="AL52" s="3">
        <v>9.2176299999999998</v>
      </c>
      <c r="AM52" s="3">
        <v>1209040</v>
      </c>
      <c r="AN52" s="3">
        <v>6.5034700000000001</v>
      </c>
      <c r="AO52" s="3">
        <v>198.28200000000001</v>
      </c>
      <c r="AP52" t="s">
        <v>60</v>
      </c>
      <c r="AQ52" t="s">
        <v>60</v>
      </c>
      <c r="AR52" s="3">
        <v>1.2463800000000001E-8</v>
      </c>
      <c r="AS52" s="3">
        <v>9.4652899999999993E-10</v>
      </c>
    </row>
    <row r="53" spans="1:45" s="1" customFormat="1" x14ac:dyDescent="0.25">
      <c r="A53" t="s">
        <v>267</v>
      </c>
      <c r="B53" t="s">
        <v>51</v>
      </c>
      <c r="C53" t="s">
        <v>546</v>
      </c>
      <c r="D53" s="2" t="s">
        <v>268</v>
      </c>
      <c r="E53" t="s">
        <v>267</v>
      </c>
      <c r="F53" s="2" t="s">
        <v>269</v>
      </c>
      <c r="G53" t="s">
        <v>270</v>
      </c>
      <c r="H53" t="s">
        <v>271</v>
      </c>
      <c r="I53" t="s">
        <v>272</v>
      </c>
      <c r="J53" t="s">
        <v>273</v>
      </c>
      <c r="K53" t="s">
        <v>274</v>
      </c>
      <c r="L53" t="s">
        <v>527</v>
      </c>
      <c r="M53" t="s">
        <v>60</v>
      </c>
      <c r="N53" t="str" cm="1">
        <f t="array" ref="N53">getURL(Table1[[#This Row],[WIKIPEDIA_ARTICLE]],"")</f>
        <v/>
      </c>
      <c r="O53" t="s">
        <v>60</v>
      </c>
      <c r="P53" s="3">
        <v>5069.91</v>
      </c>
      <c r="Q53" s="3">
        <v>401.75200000000001</v>
      </c>
      <c r="R53" s="3">
        <v>2.7226999999999999E-7</v>
      </c>
      <c r="S53" s="3">
        <v>1.645</v>
      </c>
      <c r="T53" s="3">
        <v>0.52200000000000002</v>
      </c>
      <c r="U53" s="3">
        <v>1.86209E-7</v>
      </c>
      <c r="V53" s="3">
        <v>167.67599999999999</v>
      </c>
      <c r="W53" s="3">
        <v>173.398</v>
      </c>
      <c r="X53" s="3">
        <v>0.21199999999999999</v>
      </c>
      <c r="Y53" s="3">
        <v>2.9241500000000002E-6</v>
      </c>
      <c r="Z53" t="s">
        <v>60</v>
      </c>
      <c r="AA53" s="3">
        <v>115.828</v>
      </c>
      <c r="AB53" s="3">
        <v>1.2676500000000001E-6</v>
      </c>
      <c r="AC53" t="s">
        <v>60</v>
      </c>
      <c r="AD53" s="3">
        <v>6.0673599999999996E-9</v>
      </c>
      <c r="AE53" s="3">
        <v>3.9902499999999999E-9</v>
      </c>
      <c r="AF53" s="3">
        <v>2.5165800000000002E-12</v>
      </c>
      <c r="AG53" s="3">
        <v>7907.62</v>
      </c>
      <c r="AH53" s="3">
        <v>16.095500000000001</v>
      </c>
      <c r="AI53" s="3">
        <v>384.80500000000001</v>
      </c>
      <c r="AJ53" s="3">
        <v>1.08269E-5</v>
      </c>
      <c r="AK53" s="3">
        <v>15.201499999999999</v>
      </c>
      <c r="AL53" s="3">
        <v>9.78308</v>
      </c>
      <c r="AM53" s="3">
        <v>1230090</v>
      </c>
      <c r="AN53" s="3">
        <v>6.3922800000000004</v>
      </c>
      <c r="AO53" s="3">
        <v>204.48400000000001</v>
      </c>
      <c r="AP53" t="s">
        <v>60</v>
      </c>
      <c r="AQ53" t="s">
        <v>60</v>
      </c>
      <c r="AR53" s="3">
        <v>8.0711499999999998E-9</v>
      </c>
      <c r="AS53" s="3">
        <v>9.2492099999999995E-10</v>
      </c>
    </row>
    <row r="54" spans="1:45" x14ac:dyDescent="0.25">
      <c r="A54" t="s">
        <v>275</v>
      </c>
      <c r="B54" t="s">
        <v>85</v>
      </c>
      <c r="C54" t="s">
        <v>527</v>
      </c>
      <c r="L54" t="s">
        <v>527</v>
      </c>
      <c r="N54" t="str" cm="1">
        <f t="array" ref="N54">getURL(Table1[[#This Row],[WIKIPEDIA_ARTICLE]],"")</f>
        <v/>
      </c>
    </row>
    <row r="55" spans="1:45" x14ac:dyDescent="0.25">
      <c r="A55" t="s">
        <v>276</v>
      </c>
      <c r="B55" t="s">
        <v>85</v>
      </c>
      <c r="C55" t="s">
        <v>527</v>
      </c>
      <c r="L55" t="s">
        <v>527</v>
      </c>
      <c r="N55" t="str" cm="1">
        <f t="array" ref="N55">getURL(Table1[[#This Row],[WIKIPEDIA_ARTICLE]],"")</f>
        <v/>
      </c>
    </row>
    <row r="56" spans="1:45" x14ac:dyDescent="0.25">
      <c r="A56" t="s">
        <v>277</v>
      </c>
      <c r="B56" t="s">
        <v>85</v>
      </c>
      <c r="C56" t="s">
        <v>527</v>
      </c>
      <c r="L56" t="s">
        <v>527</v>
      </c>
      <c r="N56" t="str" cm="1">
        <f t="array" ref="N56">getURL(Table1[[#This Row],[WIKIPEDIA_ARTICLE]],"")</f>
        <v/>
      </c>
    </row>
    <row r="57" spans="1:45" s="1" customFormat="1" x14ac:dyDescent="0.25">
      <c r="A57" t="s">
        <v>278</v>
      </c>
      <c r="B57" t="s">
        <v>51</v>
      </c>
      <c r="C57" t="s">
        <v>547</v>
      </c>
      <c r="D57" s="2" t="s">
        <v>279</v>
      </c>
      <c r="E57" t="s">
        <v>280</v>
      </c>
      <c r="F57" s="2" t="s">
        <v>281</v>
      </c>
      <c r="G57" t="s">
        <v>282</v>
      </c>
      <c r="H57" t="s">
        <v>283</v>
      </c>
      <c r="I57" t="s">
        <v>284</v>
      </c>
      <c r="J57" t="s">
        <v>285</v>
      </c>
      <c r="K57" t="s">
        <v>286</v>
      </c>
      <c r="L57" t="s">
        <v>527</v>
      </c>
      <c r="M57" t="s">
        <v>60</v>
      </c>
      <c r="N57" t="str" cm="1">
        <f t="array" ref="N57">getURL(Table1[[#This Row],[WIKIPEDIA_ARTICLE]],"")</f>
        <v/>
      </c>
      <c r="O57" t="s">
        <v>60</v>
      </c>
      <c r="P57" s="3">
        <v>49.659199999999998</v>
      </c>
      <c r="Q57" s="3">
        <v>355.15199999999999</v>
      </c>
      <c r="R57" s="3">
        <v>1.5381499999999998E-5</v>
      </c>
      <c r="S57" s="3">
        <v>1.2170000000000001</v>
      </c>
      <c r="T57" s="3">
        <v>0.66500000000000004</v>
      </c>
      <c r="U57" s="3">
        <v>1.13501E-5</v>
      </c>
      <c r="V57" s="3">
        <v>195.03700000000001</v>
      </c>
      <c r="W57" s="3">
        <v>138.15100000000001</v>
      </c>
      <c r="X57" s="3">
        <v>0.27</v>
      </c>
      <c r="Y57" s="3">
        <v>1.7823800000000001E-2</v>
      </c>
      <c r="Z57" s="3">
        <v>42.017000000000003</v>
      </c>
      <c r="AA57" s="3">
        <v>143.322</v>
      </c>
      <c r="AB57" s="3">
        <v>3.9174200000000002E-5</v>
      </c>
      <c r="AC57" s="3">
        <v>20.893000000000001</v>
      </c>
      <c r="AD57" s="3">
        <v>7.0631799999999999E-6</v>
      </c>
      <c r="AE57" s="3">
        <v>9.6827800000000004E-4</v>
      </c>
      <c r="AF57" s="3">
        <v>1.6523200000000001E-11</v>
      </c>
      <c r="AG57" s="3">
        <v>44.1875</v>
      </c>
      <c r="AH57" s="3">
        <v>15.008800000000001</v>
      </c>
      <c r="AI57" s="3">
        <v>334.04399999999998</v>
      </c>
      <c r="AJ57" s="3">
        <v>1.24863E-7</v>
      </c>
      <c r="AK57" s="3">
        <v>0.71518199999999998</v>
      </c>
      <c r="AL57" s="3">
        <v>8.1976999999999993</v>
      </c>
      <c r="AM57" s="3">
        <v>824.65</v>
      </c>
      <c r="AN57" s="3">
        <v>3.2377400000000001</v>
      </c>
      <c r="AO57" s="3">
        <v>165.69399999999999</v>
      </c>
      <c r="AP57" t="s">
        <v>60</v>
      </c>
      <c r="AQ57" t="s">
        <v>60</v>
      </c>
      <c r="AR57" s="3">
        <v>3.1200299999999998E-8</v>
      </c>
      <c r="AS57" s="3">
        <v>1.2824900000000001E-3</v>
      </c>
    </row>
  </sheetData>
  <hyperlinks>
    <hyperlink ref="D2" r:id="rId1" xr:uid="{00000000-0004-0000-0100-000000000000}"/>
    <hyperlink ref="F2" r:id="rId2" xr:uid="{00000000-0004-0000-0100-000001000000}"/>
    <hyperlink ref="M2" r:id="rId3" xr:uid="{00000000-0004-0000-0100-000002000000}"/>
    <hyperlink ref="O2" r:id="rId4" xr:uid="{00000000-0004-0000-0100-000003000000}"/>
    <hyperlink ref="D3" r:id="rId5" xr:uid="{00000000-0004-0000-0100-000004000000}"/>
    <hyperlink ref="F3" r:id="rId6" xr:uid="{00000000-0004-0000-0100-000005000000}"/>
    <hyperlink ref="D4" r:id="rId7" xr:uid="{00000000-0004-0000-0100-000006000000}"/>
    <hyperlink ref="F4" r:id="rId8" xr:uid="{00000000-0004-0000-0100-000007000000}"/>
    <hyperlink ref="D5" r:id="rId9" xr:uid="{00000000-0004-0000-0100-000008000000}"/>
    <hyperlink ref="F5" r:id="rId10" xr:uid="{00000000-0004-0000-0100-000009000000}"/>
    <hyperlink ref="D8" r:id="rId11" xr:uid="{00000000-0004-0000-0100-00000A000000}"/>
    <hyperlink ref="F8" r:id="rId12" xr:uid="{00000000-0004-0000-0100-00000B000000}"/>
    <hyperlink ref="D9" r:id="rId13" xr:uid="{00000000-0004-0000-0100-00000C000000}"/>
    <hyperlink ref="F9" r:id="rId14" xr:uid="{00000000-0004-0000-0100-00000D000000}"/>
    <hyperlink ref="O9" r:id="rId15" xr:uid="{00000000-0004-0000-0100-00000E000000}"/>
    <hyperlink ref="D10" r:id="rId16" xr:uid="{00000000-0004-0000-0100-00000F000000}"/>
    <hyperlink ref="F10" r:id="rId17" xr:uid="{00000000-0004-0000-0100-000010000000}"/>
    <hyperlink ref="D12" r:id="rId18" xr:uid="{00000000-0004-0000-0100-000011000000}"/>
    <hyperlink ref="F12" r:id="rId19" xr:uid="{00000000-0004-0000-0100-000012000000}"/>
    <hyperlink ref="D13" r:id="rId20" xr:uid="{00000000-0004-0000-0100-000013000000}"/>
    <hyperlink ref="F13" r:id="rId21" xr:uid="{00000000-0004-0000-0100-000014000000}"/>
    <hyperlink ref="D14" r:id="rId22" xr:uid="{00000000-0004-0000-0100-000015000000}"/>
    <hyperlink ref="F14" r:id="rId23" xr:uid="{00000000-0004-0000-0100-000016000000}"/>
    <hyperlink ref="O14" r:id="rId24" xr:uid="{00000000-0004-0000-0100-000017000000}"/>
    <hyperlink ref="D15" r:id="rId25" xr:uid="{00000000-0004-0000-0100-000018000000}"/>
    <hyperlink ref="F15" r:id="rId26" xr:uid="{00000000-0004-0000-0100-000019000000}"/>
    <hyperlink ref="D16" r:id="rId27" xr:uid="{00000000-0004-0000-0100-00001A000000}"/>
    <hyperlink ref="F16" r:id="rId28" xr:uid="{00000000-0004-0000-0100-00001B000000}"/>
    <hyperlink ref="O16" r:id="rId29" xr:uid="{00000000-0004-0000-0100-00001C000000}"/>
    <hyperlink ref="D17" r:id="rId30" xr:uid="{00000000-0004-0000-0100-00001D000000}"/>
    <hyperlink ref="F17" r:id="rId31" xr:uid="{00000000-0004-0000-0100-00001E000000}"/>
    <hyperlink ref="M17" r:id="rId32" xr:uid="{00000000-0004-0000-0100-00001F000000}"/>
    <hyperlink ref="O17" r:id="rId33" xr:uid="{00000000-0004-0000-0100-000020000000}"/>
    <hyperlink ref="D19" r:id="rId34" xr:uid="{00000000-0004-0000-0100-000021000000}"/>
    <hyperlink ref="F19" r:id="rId35" xr:uid="{00000000-0004-0000-0100-000022000000}"/>
    <hyperlink ref="D23" r:id="rId36" xr:uid="{00000000-0004-0000-0100-000023000000}"/>
    <hyperlink ref="F23" r:id="rId37" xr:uid="{00000000-0004-0000-0100-000024000000}"/>
    <hyperlink ref="D25" r:id="rId38" xr:uid="{00000000-0004-0000-0100-000025000000}"/>
    <hyperlink ref="F25" r:id="rId39" xr:uid="{00000000-0004-0000-0100-000026000000}"/>
    <hyperlink ref="D28" r:id="rId40" xr:uid="{00000000-0004-0000-0100-000027000000}"/>
    <hyperlink ref="F28" r:id="rId41" xr:uid="{00000000-0004-0000-0100-000028000000}"/>
    <hyperlink ref="D31" r:id="rId42" xr:uid="{00000000-0004-0000-0100-000029000000}"/>
    <hyperlink ref="F31" r:id="rId43" xr:uid="{00000000-0004-0000-0100-00002A000000}"/>
    <hyperlink ref="D32" r:id="rId44" xr:uid="{00000000-0004-0000-0100-00002B000000}"/>
    <hyperlink ref="F32" r:id="rId45" xr:uid="{00000000-0004-0000-0100-00002C000000}"/>
    <hyperlink ref="O32" r:id="rId46" xr:uid="{00000000-0004-0000-0100-00002D000000}"/>
    <hyperlink ref="D34" r:id="rId47" xr:uid="{00000000-0004-0000-0100-00002E000000}"/>
    <hyperlink ref="F34" r:id="rId48" xr:uid="{00000000-0004-0000-0100-00002F000000}"/>
    <hyperlink ref="D36" r:id="rId49" xr:uid="{00000000-0004-0000-0100-000030000000}"/>
    <hyperlink ref="F36" r:id="rId50" xr:uid="{00000000-0004-0000-0100-000031000000}"/>
    <hyperlink ref="D52" r:id="rId51" xr:uid="{00000000-0004-0000-0100-000032000000}"/>
    <hyperlink ref="F52" r:id="rId52" xr:uid="{00000000-0004-0000-0100-000033000000}"/>
    <hyperlink ref="D53" r:id="rId53" xr:uid="{00000000-0004-0000-0100-000034000000}"/>
    <hyperlink ref="F53" r:id="rId54" xr:uid="{00000000-0004-0000-0100-000035000000}"/>
    <hyperlink ref="D57" r:id="rId55" xr:uid="{00000000-0004-0000-0100-000036000000}"/>
    <hyperlink ref="F57" r:id="rId56" xr:uid="{00000000-0004-0000-0100-000037000000}"/>
  </hyperlinks>
  <pageMargins left="0.7" right="0.7" top="0.75" bottom="0.75" header="0.3" footer="0.3"/>
  <tableParts count="1">
    <tablePart r:id="rId5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5"/>
  <sheetViews>
    <sheetView workbookViewId="0"/>
  </sheetViews>
  <sheetFormatPr defaultRowHeight="15" x14ac:dyDescent="0.25"/>
  <sheetData>
    <row r="1" spans="1:3" x14ac:dyDescent="0.25">
      <c r="A1" t="s">
        <v>287</v>
      </c>
      <c r="B1" t="s">
        <v>288</v>
      </c>
      <c r="C1" t="s">
        <v>289</v>
      </c>
    </row>
    <row r="2" spans="1:3" s="1" customFormat="1" x14ac:dyDescent="0.25">
      <c r="A2" t="s">
        <v>50</v>
      </c>
      <c r="B2" t="s">
        <v>290</v>
      </c>
      <c r="C2" t="s">
        <v>291</v>
      </c>
    </row>
    <row r="3" spans="1:3" s="1" customFormat="1" x14ac:dyDescent="0.25">
      <c r="A3" t="s">
        <v>61</v>
      </c>
      <c r="B3" t="s">
        <v>292</v>
      </c>
      <c r="C3" t="s">
        <v>293</v>
      </c>
    </row>
    <row r="4" spans="1:3" s="1" customFormat="1" x14ac:dyDescent="0.25">
      <c r="A4" t="s">
        <v>69</v>
      </c>
      <c r="B4" t="s">
        <v>294</v>
      </c>
      <c r="C4" t="s">
        <v>295</v>
      </c>
    </row>
    <row r="5" spans="1:3" s="1" customFormat="1" x14ac:dyDescent="0.25">
      <c r="A5" t="s">
        <v>77</v>
      </c>
      <c r="B5" t="s">
        <v>296</v>
      </c>
      <c r="C5"/>
    </row>
    <row r="6" spans="1:3" s="1" customFormat="1" x14ac:dyDescent="0.25">
      <c r="A6" t="s">
        <v>87</v>
      </c>
      <c r="B6" t="s">
        <v>297</v>
      </c>
      <c r="C6" t="s">
        <v>298</v>
      </c>
    </row>
    <row r="7" spans="1:3" s="1" customFormat="1" x14ac:dyDescent="0.25">
      <c r="A7" t="s">
        <v>95</v>
      </c>
      <c r="B7" t="s">
        <v>299</v>
      </c>
      <c r="C7" t="s">
        <v>300</v>
      </c>
    </row>
    <row r="8" spans="1:3" s="1" customFormat="1" x14ac:dyDescent="0.25">
      <c r="A8" t="s">
        <v>106</v>
      </c>
      <c r="B8" t="s">
        <v>301</v>
      </c>
      <c r="C8" t="s">
        <v>302</v>
      </c>
    </row>
    <row r="9" spans="1:3" s="1" customFormat="1" x14ac:dyDescent="0.25">
      <c r="A9" t="s">
        <v>114</v>
      </c>
      <c r="B9" t="s">
        <v>303</v>
      </c>
      <c r="C9" t="s">
        <v>304</v>
      </c>
    </row>
    <row r="10" spans="1:3" s="1" customFormat="1" x14ac:dyDescent="0.25">
      <c r="A10" t="s">
        <v>122</v>
      </c>
      <c r="B10" t="s">
        <v>305</v>
      </c>
      <c r="C10" t="s">
        <v>306</v>
      </c>
    </row>
    <row r="11" spans="1:3" s="1" customFormat="1" x14ac:dyDescent="0.25">
      <c r="A11" t="s">
        <v>130</v>
      </c>
      <c r="B11" t="s">
        <v>307</v>
      </c>
      <c r="C11" t="s">
        <v>308</v>
      </c>
    </row>
    <row r="12" spans="1:3" s="1" customFormat="1" x14ac:dyDescent="0.25">
      <c r="A12" t="s">
        <v>141</v>
      </c>
      <c r="B12" t="s">
        <v>309</v>
      </c>
      <c r="C12"/>
    </row>
    <row r="13" spans="1:3" s="1" customFormat="1" x14ac:dyDescent="0.25">
      <c r="A13" t="s">
        <v>147</v>
      </c>
      <c r="B13" t="s">
        <v>310</v>
      </c>
      <c r="C13" t="s">
        <v>311</v>
      </c>
    </row>
    <row r="14" spans="1:3" s="1" customFormat="1" x14ac:dyDescent="0.25">
      <c r="A14" t="s">
        <v>155</v>
      </c>
      <c r="B14" t="s">
        <v>312</v>
      </c>
      <c r="C14" t="s">
        <v>313</v>
      </c>
    </row>
    <row r="15" spans="1:3" s="1" customFormat="1" x14ac:dyDescent="0.25">
      <c r="A15" t="s">
        <v>167</v>
      </c>
      <c r="B15" t="s">
        <v>314</v>
      </c>
      <c r="C15" t="s">
        <v>315</v>
      </c>
    </row>
    <row r="16" spans="1:3" s="1" customFormat="1" x14ac:dyDescent="0.25">
      <c r="A16" t="s">
        <v>177</v>
      </c>
      <c r="B16" t="s">
        <v>316</v>
      </c>
      <c r="C16" t="s">
        <v>317</v>
      </c>
    </row>
    <row r="17" spans="1:3" s="1" customFormat="1" x14ac:dyDescent="0.25">
      <c r="A17" t="s">
        <v>186</v>
      </c>
      <c r="B17" t="s">
        <v>318</v>
      </c>
      <c r="C17" t="s">
        <v>319</v>
      </c>
    </row>
    <row r="18" spans="1:3" s="1" customFormat="1" x14ac:dyDescent="0.25">
      <c r="A18" t="s">
        <v>198</v>
      </c>
      <c r="B18" t="s">
        <v>320</v>
      </c>
      <c r="C18"/>
    </row>
    <row r="19" spans="1:3" s="1" customFormat="1" x14ac:dyDescent="0.25">
      <c r="A19" t="s">
        <v>209</v>
      </c>
      <c r="B19" t="s">
        <v>321</v>
      </c>
      <c r="C19"/>
    </row>
    <row r="20" spans="1:3" s="1" customFormat="1" x14ac:dyDescent="0.25">
      <c r="A20" t="s">
        <v>216</v>
      </c>
      <c r="B20" t="s">
        <v>322</v>
      </c>
      <c r="C20" t="s">
        <v>323</v>
      </c>
    </row>
    <row r="21" spans="1:3" s="1" customFormat="1" x14ac:dyDescent="0.25">
      <c r="A21" t="s">
        <v>225</v>
      </c>
      <c r="B21" t="s">
        <v>324</v>
      </c>
      <c r="C21"/>
    </row>
    <row r="22" spans="1:3" s="1" customFormat="1" x14ac:dyDescent="0.25">
      <c r="A22" t="s">
        <v>236</v>
      </c>
      <c r="B22" t="s">
        <v>325</v>
      </c>
      <c r="C22" t="s">
        <v>326</v>
      </c>
    </row>
    <row r="23" spans="1:3" s="1" customFormat="1" x14ac:dyDescent="0.25">
      <c r="A23" t="s">
        <v>260</v>
      </c>
      <c r="B23" t="s">
        <v>327</v>
      </c>
      <c r="C23"/>
    </row>
    <row r="24" spans="1:3" s="1" customFormat="1" x14ac:dyDescent="0.25">
      <c r="A24" t="s">
        <v>267</v>
      </c>
      <c r="B24" t="s">
        <v>328</v>
      </c>
      <c r="C24"/>
    </row>
    <row r="25" spans="1:3" s="1" customFormat="1" x14ac:dyDescent="0.25">
      <c r="A25" t="s">
        <v>280</v>
      </c>
      <c r="B25" t="s">
        <v>329</v>
      </c>
      <c r="C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90"/>
  <sheetViews>
    <sheetView workbookViewId="0"/>
  </sheetViews>
  <sheetFormatPr defaultRowHeight="15" x14ac:dyDescent="0.25"/>
  <sheetData>
    <row r="1" spans="1:7" x14ac:dyDescent="0.25">
      <c r="A1" t="s">
        <v>8</v>
      </c>
      <c r="B1" t="s">
        <v>10</v>
      </c>
      <c r="C1" t="s">
        <v>11</v>
      </c>
      <c r="D1" t="s">
        <v>330</v>
      </c>
      <c r="E1" t="s">
        <v>331</v>
      </c>
      <c r="F1" t="s">
        <v>332</v>
      </c>
      <c r="G1" t="s">
        <v>333</v>
      </c>
    </row>
    <row r="2" spans="1:7" s="1" customFormat="1" x14ac:dyDescent="0.25">
      <c r="A2" t="s">
        <v>50</v>
      </c>
      <c r="B2" t="s">
        <v>52</v>
      </c>
      <c r="C2" t="s">
        <v>50</v>
      </c>
      <c r="D2" t="s">
        <v>334</v>
      </c>
      <c r="E2" t="s">
        <v>52</v>
      </c>
      <c r="F2" t="s">
        <v>50</v>
      </c>
      <c r="G2" t="s">
        <v>54</v>
      </c>
    </row>
    <row r="3" spans="1:7" s="1" customFormat="1" x14ac:dyDescent="0.25">
      <c r="A3" t="s">
        <v>50</v>
      </c>
      <c r="B3" t="s">
        <v>52</v>
      </c>
      <c r="C3" t="s">
        <v>50</v>
      </c>
      <c r="D3" t="s">
        <v>335</v>
      </c>
      <c r="E3" t="s">
        <v>336</v>
      </c>
      <c r="F3" t="s">
        <v>337</v>
      </c>
      <c r="G3" t="s">
        <v>338</v>
      </c>
    </row>
    <row r="4" spans="1:7" s="1" customFormat="1" x14ac:dyDescent="0.25">
      <c r="A4" t="s">
        <v>61</v>
      </c>
      <c r="B4" t="s">
        <v>62</v>
      </c>
      <c r="C4" t="s">
        <v>61</v>
      </c>
      <c r="D4" t="s">
        <v>334</v>
      </c>
      <c r="E4" t="s">
        <v>62</v>
      </c>
      <c r="F4" t="s">
        <v>61</v>
      </c>
      <c r="G4" t="s">
        <v>64</v>
      </c>
    </row>
    <row r="5" spans="1:7" s="1" customFormat="1" x14ac:dyDescent="0.25">
      <c r="A5" t="s">
        <v>69</v>
      </c>
      <c r="B5" t="s">
        <v>70</v>
      </c>
      <c r="C5" t="s">
        <v>69</v>
      </c>
      <c r="D5" t="s">
        <v>334</v>
      </c>
      <c r="E5" t="s">
        <v>70</v>
      </c>
      <c r="F5" t="s">
        <v>69</v>
      </c>
      <c r="G5" t="s">
        <v>72</v>
      </c>
    </row>
    <row r="6" spans="1:7" s="1" customFormat="1" x14ac:dyDescent="0.25">
      <c r="A6" t="s">
        <v>77</v>
      </c>
      <c r="B6" t="s">
        <v>78</v>
      </c>
      <c r="C6" t="s">
        <v>77</v>
      </c>
      <c r="D6" t="s">
        <v>334</v>
      </c>
      <c r="E6" t="s">
        <v>78</v>
      </c>
      <c r="F6" t="s">
        <v>77</v>
      </c>
      <c r="G6" t="s">
        <v>80</v>
      </c>
    </row>
    <row r="7" spans="1:7" s="1" customFormat="1" x14ac:dyDescent="0.25">
      <c r="A7" t="s">
        <v>77</v>
      </c>
      <c r="B7" t="s">
        <v>78</v>
      </c>
      <c r="C7" t="s">
        <v>77</v>
      </c>
      <c r="D7" t="s">
        <v>335</v>
      </c>
      <c r="E7" t="s">
        <v>339</v>
      </c>
      <c r="F7" t="s">
        <v>340</v>
      </c>
      <c r="G7" t="s">
        <v>341</v>
      </c>
    </row>
    <row r="8" spans="1:7" s="1" customFormat="1" x14ac:dyDescent="0.25">
      <c r="A8" t="s">
        <v>87</v>
      </c>
      <c r="B8" t="s">
        <v>88</v>
      </c>
      <c r="C8" t="s">
        <v>87</v>
      </c>
      <c r="D8" t="s">
        <v>334</v>
      </c>
      <c r="E8" t="s">
        <v>88</v>
      </c>
      <c r="F8" t="s">
        <v>87</v>
      </c>
      <c r="G8" t="s">
        <v>90</v>
      </c>
    </row>
    <row r="9" spans="1:7" s="1" customFormat="1" x14ac:dyDescent="0.25">
      <c r="A9" t="s">
        <v>95</v>
      </c>
      <c r="B9" t="s">
        <v>96</v>
      </c>
      <c r="C9" t="s">
        <v>95</v>
      </c>
      <c r="D9" t="s">
        <v>334</v>
      </c>
      <c r="E9" t="s">
        <v>96</v>
      </c>
      <c r="F9" t="s">
        <v>95</v>
      </c>
      <c r="G9" t="s">
        <v>98</v>
      </c>
    </row>
    <row r="10" spans="1:7" s="1" customFormat="1" x14ac:dyDescent="0.25">
      <c r="A10" t="s">
        <v>103</v>
      </c>
      <c r="B10" t="s">
        <v>105</v>
      </c>
      <c r="C10" t="s">
        <v>106</v>
      </c>
      <c r="D10" t="s">
        <v>334</v>
      </c>
      <c r="E10" t="s">
        <v>105</v>
      </c>
      <c r="F10" t="s">
        <v>106</v>
      </c>
      <c r="G10" t="s">
        <v>108</v>
      </c>
    </row>
    <row r="11" spans="1:7" s="1" customFormat="1" x14ac:dyDescent="0.25">
      <c r="A11" t="s">
        <v>103</v>
      </c>
      <c r="B11" t="s">
        <v>105</v>
      </c>
      <c r="C11" t="s">
        <v>106</v>
      </c>
      <c r="D11" t="s">
        <v>335</v>
      </c>
      <c r="E11" t="s">
        <v>342</v>
      </c>
      <c r="F11" t="s">
        <v>343</v>
      </c>
      <c r="G11" t="s">
        <v>344</v>
      </c>
    </row>
    <row r="12" spans="1:7" s="1" customFormat="1" x14ac:dyDescent="0.25">
      <c r="A12" t="s">
        <v>114</v>
      </c>
      <c r="B12" t="s">
        <v>115</v>
      </c>
      <c r="C12" t="s">
        <v>114</v>
      </c>
      <c r="D12" t="s">
        <v>334</v>
      </c>
      <c r="E12" t="s">
        <v>115</v>
      </c>
      <c r="F12" t="s">
        <v>114</v>
      </c>
      <c r="G12" t="s">
        <v>117</v>
      </c>
    </row>
    <row r="13" spans="1:7" s="1" customFormat="1" x14ac:dyDescent="0.25">
      <c r="A13" t="s">
        <v>114</v>
      </c>
      <c r="B13" t="s">
        <v>115</v>
      </c>
      <c r="C13" t="s">
        <v>114</v>
      </c>
      <c r="D13" t="s">
        <v>345</v>
      </c>
      <c r="E13" t="s">
        <v>346</v>
      </c>
      <c r="F13" t="s">
        <v>347</v>
      </c>
      <c r="G13" t="s">
        <v>348</v>
      </c>
    </row>
    <row r="14" spans="1:7" s="1" customFormat="1" x14ac:dyDescent="0.25">
      <c r="A14" t="s">
        <v>114</v>
      </c>
      <c r="B14" t="s">
        <v>115</v>
      </c>
      <c r="C14" t="s">
        <v>114</v>
      </c>
      <c r="D14" t="s">
        <v>345</v>
      </c>
      <c r="E14" t="s">
        <v>349</v>
      </c>
      <c r="F14" t="s">
        <v>350</v>
      </c>
      <c r="G14" t="s">
        <v>351</v>
      </c>
    </row>
    <row r="15" spans="1:7" s="1" customFormat="1" x14ac:dyDescent="0.25">
      <c r="A15" t="s">
        <v>122</v>
      </c>
      <c r="B15" t="s">
        <v>123</v>
      </c>
      <c r="C15" t="s">
        <v>122</v>
      </c>
      <c r="D15" t="s">
        <v>334</v>
      </c>
      <c r="E15" t="s">
        <v>123</v>
      </c>
      <c r="F15" t="s">
        <v>122</v>
      </c>
      <c r="G15" t="s">
        <v>125</v>
      </c>
    </row>
    <row r="16" spans="1:7" s="1" customFormat="1" x14ac:dyDescent="0.25">
      <c r="A16" t="s">
        <v>122</v>
      </c>
      <c r="B16" t="s">
        <v>123</v>
      </c>
      <c r="C16" t="s">
        <v>122</v>
      </c>
      <c r="D16" t="s">
        <v>352</v>
      </c>
      <c r="E16" t="s">
        <v>353</v>
      </c>
      <c r="F16" t="s">
        <v>354</v>
      </c>
      <c r="G16" t="s">
        <v>355</v>
      </c>
    </row>
    <row r="17" spans="1:7" s="1" customFormat="1" x14ac:dyDescent="0.25">
      <c r="A17" t="s">
        <v>122</v>
      </c>
      <c r="B17" t="s">
        <v>123</v>
      </c>
      <c r="C17" t="s">
        <v>122</v>
      </c>
      <c r="D17" t="s">
        <v>352</v>
      </c>
      <c r="E17" t="s">
        <v>356</v>
      </c>
      <c r="F17" t="s">
        <v>357</v>
      </c>
      <c r="G17" t="s">
        <v>358</v>
      </c>
    </row>
    <row r="18" spans="1:7" s="1" customFormat="1" x14ac:dyDescent="0.25">
      <c r="A18" t="s">
        <v>122</v>
      </c>
      <c r="B18" t="s">
        <v>123</v>
      </c>
      <c r="C18" t="s">
        <v>122</v>
      </c>
      <c r="D18" t="s">
        <v>352</v>
      </c>
      <c r="E18" t="s">
        <v>359</v>
      </c>
      <c r="F18" t="s">
        <v>360</v>
      </c>
      <c r="G18" t="s">
        <v>361</v>
      </c>
    </row>
    <row r="19" spans="1:7" s="1" customFormat="1" x14ac:dyDescent="0.25">
      <c r="A19" t="s">
        <v>122</v>
      </c>
      <c r="B19" t="s">
        <v>123</v>
      </c>
      <c r="C19" t="s">
        <v>122</v>
      </c>
      <c r="D19" t="s">
        <v>352</v>
      </c>
      <c r="E19" t="s">
        <v>362</v>
      </c>
      <c r="F19" t="s">
        <v>363</v>
      </c>
      <c r="G19" t="s">
        <v>364</v>
      </c>
    </row>
    <row r="20" spans="1:7" s="1" customFormat="1" x14ac:dyDescent="0.25">
      <c r="A20" t="s">
        <v>122</v>
      </c>
      <c r="B20" t="s">
        <v>123</v>
      </c>
      <c r="C20" t="s">
        <v>122</v>
      </c>
      <c r="D20" t="s">
        <v>352</v>
      </c>
      <c r="E20" t="s">
        <v>365</v>
      </c>
      <c r="F20" t="s">
        <v>366</v>
      </c>
      <c r="G20" t="s">
        <v>367</v>
      </c>
    </row>
    <row r="21" spans="1:7" s="1" customFormat="1" x14ac:dyDescent="0.25">
      <c r="A21" t="s">
        <v>122</v>
      </c>
      <c r="B21" t="s">
        <v>123</v>
      </c>
      <c r="C21" t="s">
        <v>122</v>
      </c>
      <c r="D21" t="s">
        <v>352</v>
      </c>
      <c r="E21" t="s">
        <v>368</v>
      </c>
      <c r="F21" t="s">
        <v>369</v>
      </c>
      <c r="G21" t="s">
        <v>370</v>
      </c>
    </row>
    <row r="22" spans="1:7" s="1" customFormat="1" x14ac:dyDescent="0.25">
      <c r="A22" t="s">
        <v>122</v>
      </c>
      <c r="B22" t="s">
        <v>123</v>
      </c>
      <c r="C22" t="s">
        <v>122</v>
      </c>
      <c r="D22" t="s">
        <v>352</v>
      </c>
      <c r="E22" t="s">
        <v>371</v>
      </c>
      <c r="F22" t="s">
        <v>372</v>
      </c>
      <c r="G22" t="s">
        <v>373</v>
      </c>
    </row>
    <row r="23" spans="1:7" s="1" customFormat="1" x14ac:dyDescent="0.25">
      <c r="A23" t="s">
        <v>122</v>
      </c>
      <c r="B23" t="s">
        <v>123</v>
      </c>
      <c r="C23" t="s">
        <v>122</v>
      </c>
      <c r="D23" t="s">
        <v>352</v>
      </c>
      <c r="E23" t="s">
        <v>374</v>
      </c>
      <c r="F23" t="s">
        <v>375</v>
      </c>
      <c r="G23" t="s">
        <v>376</v>
      </c>
    </row>
    <row r="24" spans="1:7" s="1" customFormat="1" x14ac:dyDescent="0.25">
      <c r="A24" t="s">
        <v>122</v>
      </c>
      <c r="B24" t="s">
        <v>123</v>
      </c>
      <c r="C24" t="s">
        <v>122</v>
      </c>
      <c r="D24" t="s">
        <v>352</v>
      </c>
      <c r="E24" t="s">
        <v>377</v>
      </c>
      <c r="F24" t="s">
        <v>378</v>
      </c>
      <c r="G24" t="s">
        <v>379</v>
      </c>
    </row>
    <row r="25" spans="1:7" s="1" customFormat="1" x14ac:dyDescent="0.25">
      <c r="A25" t="s">
        <v>122</v>
      </c>
      <c r="B25" t="s">
        <v>123</v>
      </c>
      <c r="C25" t="s">
        <v>122</v>
      </c>
      <c r="D25" t="s">
        <v>352</v>
      </c>
      <c r="E25" t="s">
        <v>380</v>
      </c>
      <c r="F25" t="s">
        <v>381</v>
      </c>
      <c r="G25" t="s">
        <v>382</v>
      </c>
    </row>
    <row r="26" spans="1:7" s="1" customFormat="1" x14ac:dyDescent="0.25">
      <c r="A26" t="s">
        <v>130</v>
      </c>
      <c r="B26" t="s">
        <v>132</v>
      </c>
      <c r="C26" t="s">
        <v>130</v>
      </c>
      <c r="D26" t="s">
        <v>334</v>
      </c>
      <c r="E26" t="s">
        <v>132</v>
      </c>
      <c r="F26" t="s">
        <v>130</v>
      </c>
      <c r="G26" t="s">
        <v>134</v>
      </c>
    </row>
    <row r="27" spans="1:7" s="1" customFormat="1" x14ac:dyDescent="0.25">
      <c r="A27" t="s">
        <v>130</v>
      </c>
      <c r="B27" t="s">
        <v>132</v>
      </c>
      <c r="C27" t="s">
        <v>130</v>
      </c>
      <c r="D27" t="s">
        <v>335</v>
      </c>
      <c r="E27" t="s">
        <v>383</v>
      </c>
      <c r="F27" t="s">
        <v>384</v>
      </c>
      <c r="G27" t="s">
        <v>385</v>
      </c>
    </row>
    <row r="28" spans="1:7" s="1" customFormat="1" x14ac:dyDescent="0.25">
      <c r="A28" t="s">
        <v>130</v>
      </c>
      <c r="B28" t="s">
        <v>132</v>
      </c>
      <c r="C28" t="s">
        <v>130</v>
      </c>
      <c r="D28" t="s">
        <v>335</v>
      </c>
      <c r="E28" t="s">
        <v>386</v>
      </c>
      <c r="F28" t="s">
        <v>387</v>
      </c>
      <c r="G28" t="s">
        <v>388</v>
      </c>
    </row>
    <row r="29" spans="1:7" s="1" customFormat="1" x14ac:dyDescent="0.25">
      <c r="A29" t="s">
        <v>130</v>
      </c>
      <c r="B29" t="s">
        <v>132</v>
      </c>
      <c r="C29" t="s">
        <v>130</v>
      </c>
      <c r="D29" t="s">
        <v>335</v>
      </c>
      <c r="E29" t="s">
        <v>389</v>
      </c>
      <c r="F29" t="s">
        <v>390</v>
      </c>
      <c r="G29" t="s">
        <v>391</v>
      </c>
    </row>
    <row r="30" spans="1:7" s="1" customFormat="1" x14ac:dyDescent="0.25">
      <c r="A30" t="s">
        <v>130</v>
      </c>
      <c r="B30" t="s">
        <v>132</v>
      </c>
      <c r="C30" t="s">
        <v>130</v>
      </c>
      <c r="D30" t="s">
        <v>335</v>
      </c>
      <c r="E30" t="s">
        <v>392</v>
      </c>
      <c r="F30" t="s">
        <v>393</v>
      </c>
      <c r="G30" t="s">
        <v>394</v>
      </c>
    </row>
    <row r="31" spans="1:7" s="1" customFormat="1" x14ac:dyDescent="0.25">
      <c r="A31" t="s">
        <v>130</v>
      </c>
      <c r="B31" t="s">
        <v>132</v>
      </c>
      <c r="C31" t="s">
        <v>130</v>
      </c>
      <c r="D31" t="s">
        <v>335</v>
      </c>
      <c r="E31" t="s">
        <v>395</v>
      </c>
      <c r="F31" t="s">
        <v>396</v>
      </c>
      <c r="G31" t="s">
        <v>397</v>
      </c>
    </row>
    <row r="32" spans="1:7" s="1" customFormat="1" x14ac:dyDescent="0.25">
      <c r="A32" t="s">
        <v>130</v>
      </c>
      <c r="B32" t="s">
        <v>132</v>
      </c>
      <c r="C32" t="s">
        <v>130</v>
      </c>
      <c r="D32" t="s">
        <v>335</v>
      </c>
      <c r="E32" t="s">
        <v>398</v>
      </c>
      <c r="F32" t="s">
        <v>399</v>
      </c>
      <c r="G32" t="s">
        <v>400</v>
      </c>
    </row>
    <row r="33" spans="1:7" s="1" customFormat="1" x14ac:dyDescent="0.25">
      <c r="A33" t="s">
        <v>130</v>
      </c>
      <c r="B33" t="s">
        <v>132</v>
      </c>
      <c r="C33" t="s">
        <v>130</v>
      </c>
      <c r="D33" t="s">
        <v>335</v>
      </c>
      <c r="E33" t="s">
        <v>401</v>
      </c>
      <c r="F33" t="s">
        <v>402</v>
      </c>
      <c r="G33" t="s">
        <v>403</v>
      </c>
    </row>
    <row r="34" spans="1:7" s="1" customFormat="1" x14ac:dyDescent="0.25">
      <c r="A34" t="s">
        <v>130</v>
      </c>
      <c r="B34" t="s">
        <v>132</v>
      </c>
      <c r="C34" t="s">
        <v>130</v>
      </c>
      <c r="D34" t="s">
        <v>335</v>
      </c>
      <c r="E34" t="s">
        <v>404</v>
      </c>
      <c r="F34" t="s">
        <v>405</v>
      </c>
      <c r="G34" t="s">
        <v>406</v>
      </c>
    </row>
    <row r="35" spans="1:7" s="1" customFormat="1" x14ac:dyDescent="0.25">
      <c r="A35" t="s">
        <v>130</v>
      </c>
      <c r="B35" t="s">
        <v>132</v>
      </c>
      <c r="C35" t="s">
        <v>130</v>
      </c>
      <c r="D35" t="s">
        <v>352</v>
      </c>
      <c r="E35" t="s">
        <v>407</v>
      </c>
      <c r="F35" t="s">
        <v>408</v>
      </c>
      <c r="G35" t="s">
        <v>409</v>
      </c>
    </row>
    <row r="36" spans="1:7" s="1" customFormat="1" x14ac:dyDescent="0.25">
      <c r="A36" t="s">
        <v>130</v>
      </c>
      <c r="B36" t="s">
        <v>132</v>
      </c>
      <c r="C36" t="s">
        <v>130</v>
      </c>
      <c r="D36" t="s">
        <v>352</v>
      </c>
      <c r="E36" t="s">
        <v>410</v>
      </c>
      <c r="F36" t="s">
        <v>411</v>
      </c>
      <c r="G36" t="s">
        <v>412</v>
      </c>
    </row>
    <row r="37" spans="1:7" s="1" customFormat="1" x14ac:dyDescent="0.25">
      <c r="A37" t="s">
        <v>130</v>
      </c>
      <c r="B37" t="s">
        <v>132</v>
      </c>
      <c r="C37" t="s">
        <v>130</v>
      </c>
      <c r="D37" t="s">
        <v>352</v>
      </c>
      <c r="E37" t="s">
        <v>413</v>
      </c>
      <c r="F37" t="s">
        <v>414</v>
      </c>
      <c r="G37" t="s">
        <v>415</v>
      </c>
    </row>
    <row r="38" spans="1:7" s="1" customFormat="1" x14ac:dyDescent="0.25">
      <c r="A38" t="s">
        <v>130</v>
      </c>
      <c r="B38" t="s">
        <v>132</v>
      </c>
      <c r="C38" t="s">
        <v>130</v>
      </c>
      <c r="D38" t="s">
        <v>352</v>
      </c>
      <c r="E38" t="s">
        <v>416</v>
      </c>
      <c r="F38" t="s">
        <v>417</v>
      </c>
      <c r="G38" t="s">
        <v>418</v>
      </c>
    </row>
    <row r="39" spans="1:7" s="1" customFormat="1" x14ac:dyDescent="0.25">
      <c r="A39" t="s">
        <v>130</v>
      </c>
      <c r="B39" t="s">
        <v>132</v>
      </c>
      <c r="C39" t="s">
        <v>130</v>
      </c>
      <c r="D39" t="s">
        <v>352</v>
      </c>
      <c r="E39" t="s">
        <v>419</v>
      </c>
      <c r="F39" t="s">
        <v>420</v>
      </c>
      <c r="G39" t="s">
        <v>421</v>
      </c>
    </row>
    <row r="40" spans="1:7" s="1" customFormat="1" x14ac:dyDescent="0.25">
      <c r="A40" t="s">
        <v>130</v>
      </c>
      <c r="B40" t="s">
        <v>132</v>
      </c>
      <c r="C40" t="s">
        <v>130</v>
      </c>
      <c r="D40" t="s">
        <v>352</v>
      </c>
      <c r="E40" t="s">
        <v>422</v>
      </c>
      <c r="F40" t="s">
        <v>423</v>
      </c>
      <c r="G40" t="s">
        <v>424</v>
      </c>
    </row>
    <row r="41" spans="1:7" s="1" customFormat="1" x14ac:dyDescent="0.25">
      <c r="A41" t="s">
        <v>130</v>
      </c>
      <c r="B41" t="s">
        <v>132</v>
      </c>
      <c r="C41" t="s">
        <v>130</v>
      </c>
      <c r="D41" t="s">
        <v>352</v>
      </c>
      <c r="E41" t="s">
        <v>425</v>
      </c>
      <c r="F41" t="s">
        <v>426</v>
      </c>
      <c r="G41" t="s">
        <v>427</v>
      </c>
    </row>
    <row r="42" spans="1:7" s="1" customFormat="1" x14ac:dyDescent="0.25">
      <c r="A42" t="s">
        <v>130</v>
      </c>
      <c r="B42" t="s">
        <v>140</v>
      </c>
      <c r="C42" t="s">
        <v>141</v>
      </c>
      <c r="D42" t="s">
        <v>334</v>
      </c>
      <c r="E42" t="s">
        <v>140</v>
      </c>
      <c r="F42" t="s">
        <v>141</v>
      </c>
      <c r="G42" t="s">
        <v>143</v>
      </c>
    </row>
    <row r="43" spans="1:7" s="1" customFormat="1" x14ac:dyDescent="0.25">
      <c r="A43" t="s">
        <v>147</v>
      </c>
      <c r="B43" t="s">
        <v>148</v>
      </c>
      <c r="C43" t="s">
        <v>147</v>
      </c>
      <c r="D43" t="s">
        <v>334</v>
      </c>
      <c r="E43" t="s">
        <v>148</v>
      </c>
      <c r="F43" t="s">
        <v>147</v>
      </c>
      <c r="G43" t="s">
        <v>150</v>
      </c>
    </row>
    <row r="44" spans="1:7" s="1" customFormat="1" x14ac:dyDescent="0.25">
      <c r="A44" t="s">
        <v>147</v>
      </c>
      <c r="B44" t="s">
        <v>148</v>
      </c>
      <c r="C44" t="s">
        <v>147</v>
      </c>
      <c r="D44" t="s">
        <v>335</v>
      </c>
      <c r="E44" t="s">
        <v>428</v>
      </c>
      <c r="F44" t="s">
        <v>429</v>
      </c>
      <c r="G44" t="s">
        <v>430</v>
      </c>
    </row>
    <row r="45" spans="1:7" s="1" customFormat="1" x14ac:dyDescent="0.25">
      <c r="A45" t="s">
        <v>147</v>
      </c>
      <c r="B45" t="s">
        <v>148</v>
      </c>
      <c r="C45" t="s">
        <v>147</v>
      </c>
      <c r="D45" t="s">
        <v>352</v>
      </c>
      <c r="E45" t="s">
        <v>431</v>
      </c>
      <c r="F45" t="s">
        <v>432</v>
      </c>
      <c r="G45" t="s">
        <v>433</v>
      </c>
    </row>
    <row r="46" spans="1:7" s="1" customFormat="1" x14ac:dyDescent="0.25">
      <c r="A46" t="s">
        <v>147</v>
      </c>
      <c r="B46" t="s">
        <v>148</v>
      </c>
      <c r="C46" t="s">
        <v>147</v>
      </c>
      <c r="D46" t="s">
        <v>352</v>
      </c>
      <c r="E46" t="s">
        <v>434</v>
      </c>
      <c r="F46" t="s">
        <v>435</v>
      </c>
      <c r="G46" t="s">
        <v>436</v>
      </c>
    </row>
    <row r="47" spans="1:7" s="1" customFormat="1" x14ac:dyDescent="0.25">
      <c r="A47" t="s">
        <v>147</v>
      </c>
      <c r="B47" t="s">
        <v>148</v>
      </c>
      <c r="C47" t="s">
        <v>147</v>
      </c>
      <c r="D47" t="s">
        <v>352</v>
      </c>
      <c r="E47" t="s">
        <v>437</v>
      </c>
      <c r="F47" t="s">
        <v>438</v>
      </c>
      <c r="G47" t="s">
        <v>439</v>
      </c>
    </row>
    <row r="48" spans="1:7" s="1" customFormat="1" x14ac:dyDescent="0.25">
      <c r="A48" t="s">
        <v>147</v>
      </c>
      <c r="B48" t="s">
        <v>148</v>
      </c>
      <c r="C48" t="s">
        <v>147</v>
      </c>
      <c r="D48" t="s">
        <v>352</v>
      </c>
      <c r="E48" t="s">
        <v>440</v>
      </c>
      <c r="F48" t="s">
        <v>441</v>
      </c>
      <c r="G48" t="s">
        <v>442</v>
      </c>
    </row>
    <row r="49" spans="1:7" s="1" customFormat="1" x14ac:dyDescent="0.25">
      <c r="A49" t="s">
        <v>147</v>
      </c>
      <c r="B49" t="s">
        <v>148</v>
      </c>
      <c r="C49" t="s">
        <v>147</v>
      </c>
      <c r="D49" t="s">
        <v>352</v>
      </c>
      <c r="E49" t="s">
        <v>443</v>
      </c>
      <c r="F49" t="s">
        <v>444</v>
      </c>
      <c r="G49" t="s">
        <v>445</v>
      </c>
    </row>
    <row r="50" spans="1:7" s="1" customFormat="1" x14ac:dyDescent="0.25">
      <c r="A50" t="s">
        <v>155</v>
      </c>
      <c r="B50" t="s">
        <v>156</v>
      </c>
      <c r="C50" t="s">
        <v>155</v>
      </c>
      <c r="D50" t="s">
        <v>334</v>
      </c>
      <c r="E50" t="s">
        <v>156</v>
      </c>
      <c r="F50" t="s">
        <v>155</v>
      </c>
      <c r="G50" t="s">
        <v>158</v>
      </c>
    </row>
    <row r="51" spans="1:7" s="1" customFormat="1" x14ac:dyDescent="0.25">
      <c r="A51" t="s">
        <v>155</v>
      </c>
      <c r="B51" t="s">
        <v>156</v>
      </c>
      <c r="C51" t="s">
        <v>155</v>
      </c>
      <c r="D51" t="s">
        <v>335</v>
      </c>
      <c r="E51" t="s">
        <v>446</v>
      </c>
      <c r="F51" t="s">
        <v>447</v>
      </c>
      <c r="G51" t="s">
        <v>448</v>
      </c>
    </row>
    <row r="52" spans="1:7" s="1" customFormat="1" x14ac:dyDescent="0.25">
      <c r="A52" t="s">
        <v>155</v>
      </c>
      <c r="B52" t="s">
        <v>156</v>
      </c>
      <c r="C52" t="s">
        <v>155</v>
      </c>
      <c r="D52" t="s">
        <v>449</v>
      </c>
      <c r="E52" t="s">
        <v>450</v>
      </c>
      <c r="F52" t="s">
        <v>451</v>
      </c>
      <c r="G52" t="s">
        <v>452</v>
      </c>
    </row>
    <row r="53" spans="1:7" s="1" customFormat="1" x14ac:dyDescent="0.25">
      <c r="A53" t="s">
        <v>155</v>
      </c>
      <c r="B53" t="s">
        <v>156</v>
      </c>
      <c r="C53" t="s">
        <v>155</v>
      </c>
      <c r="D53" t="s">
        <v>352</v>
      </c>
      <c r="E53" t="s">
        <v>453</v>
      </c>
      <c r="F53" t="s">
        <v>454</v>
      </c>
      <c r="G53" t="s">
        <v>455</v>
      </c>
    </row>
    <row r="54" spans="1:7" s="1" customFormat="1" x14ac:dyDescent="0.25">
      <c r="A54" t="s">
        <v>164</v>
      </c>
      <c r="B54" t="s">
        <v>166</v>
      </c>
      <c r="C54" t="s">
        <v>167</v>
      </c>
      <c r="D54" t="s">
        <v>334</v>
      </c>
      <c r="E54" t="s">
        <v>166</v>
      </c>
      <c r="F54" t="s">
        <v>167</v>
      </c>
      <c r="G54" t="s">
        <v>169</v>
      </c>
    </row>
    <row r="55" spans="1:7" s="1" customFormat="1" x14ac:dyDescent="0.25">
      <c r="A55" t="s">
        <v>164</v>
      </c>
      <c r="B55" t="s">
        <v>166</v>
      </c>
      <c r="C55" t="s">
        <v>167</v>
      </c>
      <c r="D55" t="s">
        <v>335</v>
      </c>
      <c r="E55" t="s">
        <v>456</v>
      </c>
      <c r="F55" t="s">
        <v>457</v>
      </c>
      <c r="G55" t="s">
        <v>458</v>
      </c>
    </row>
    <row r="56" spans="1:7" s="1" customFormat="1" x14ac:dyDescent="0.25">
      <c r="A56" t="s">
        <v>164</v>
      </c>
      <c r="B56" t="s">
        <v>166</v>
      </c>
      <c r="C56" t="s">
        <v>167</v>
      </c>
      <c r="D56" t="s">
        <v>335</v>
      </c>
      <c r="E56" t="s">
        <v>459</v>
      </c>
      <c r="F56" t="s">
        <v>460</v>
      </c>
      <c r="G56" t="s">
        <v>461</v>
      </c>
    </row>
    <row r="57" spans="1:7" s="1" customFormat="1" x14ac:dyDescent="0.25">
      <c r="A57" t="s">
        <v>164</v>
      </c>
      <c r="B57" t="s">
        <v>166</v>
      </c>
      <c r="C57" t="s">
        <v>167</v>
      </c>
      <c r="D57" t="s">
        <v>352</v>
      </c>
      <c r="E57" t="s">
        <v>462</v>
      </c>
      <c r="F57" t="s">
        <v>463</v>
      </c>
      <c r="G57" t="s">
        <v>464</v>
      </c>
    </row>
    <row r="58" spans="1:7" s="1" customFormat="1" x14ac:dyDescent="0.25">
      <c r="A58" t="s">
        <v>164</v>
      </c>
      <c r="B58" t="s">
        <v>166</v>
      </c>
      <c r="C58" t="s">
        <v>167</v>
      </c>
      <c r="D58" t="s">
        <v>352</v>
      </c>
      <c r="E58" t="s">
        <v>465</v>
      </c>
      <c r="F58" t="s">
        <v>466</v>
      </c>
      <c r="G58" t="s">
        <v>467</v>
      </c>
    </row>
    <row r="59" spans="1:7" s="1" customFormat="1" x14ac:dyDescent="0.25">
      <c r="A59" t="s">
        <v>164</v>
      </c>
      <c r="B59" t="s">
        <v>166</v>
      </c>
      <c r="C59" t="s">
        <v>167</v>
      </c>
      <c r="D59" t="s">
        <v>352</v>
      </c>
      <c r="E59" t="s">
        <v>468</v>
      </c>
      <c r="F59" t="s">
        <v>469</v>
      </c>
      <c r="G59" t="s">
        <v>470</v>
      </c>
    </row>
    <row r="60" spans="1:7" s="1" customFormat="1" x14ac:dyDescent="0.25">
      <c r="A60" t="s">
        <v>164</v>
      </c>
      <c r="B60" t="s">
        <v>166</v>
      </c>
      <c r="C60" t="s">
        <v>167</v>
      </c>
      <c r="D60" t="s">
        <v>352</v>
      </c>
      <c r="E60" t="s">
        <v>471</v>
      </c>
      <c r="F60" t="s">
        <v>472</v>
      </c>
      <c r="G60" t="s">
        <v>473</v>
      </c>
    </row>
    <row r="61" spans="1:7" s="1" customFormat="1" x14ac:dyDescent="0.25">
      <c r="A61" t="s">
        <v>177</v>
      </c>
      <c r="B61" t="s">
        <v>178</v>
      </c>
      <c r="C61" t="s">
        <v>177</v>
      </c>
      <c r="D61" t="s">
        <v>334</v>
      </c>
      <c r="E61" t="s">
        <v>178</v>
      </c>
      <c r="F61" t="s">
        <v>177</v>
      </c>
      <c r="G61" t="s">
        <v>180</v>
      </c>
    </row>
    <row r="62" spans="1:7" s="1" customFormat="1" x14ac:dyDescent="0.25">
      <c r="A62" t="s">
        <v>186</v>
      </c>
      <c r="B62" t="s">
        <v>187</v>
      </c>
      <c r="C62" t="s">
        <v>186</v>
      </c>
      <c r="D62" t="s">
        <v>334</v>
      </c>
      <c r="E62" t="s">
        <v>187</v>
      </c>
      <c r="F62" t="s">
        <v>186</v>
      </c>
      <c r="G62" t="s">
        <v>189</v>
      </c>
    </row>
    <row r="63" spans="1:7" s="1" customFormat="1" x14ac:dyDescent="0.25">
      <c r="A63" t="s">
        <v>196</v>
      </c>
      <c r="B63" t="s">
        <v>197</v>
      </c>
      <c r="C63" t="s">
        <v>198</v>
      </c>
      <c r="D63" t="s">
        <v>334</v>
      </c>
      <c r="E63" t="s">
        <v>197</v>
      </c>
      <c r="F63" t="s">
        <v>198</v>
      </c>
      <c r="G63" t="s">
        <v>200</v>
      </c>
    </row>
    <row r="64" spans="1:7" s="1" customFormat="1" x14ac:dyDescent="0.25">
      <c r="A64" t="s">
        <v>207</v>
      </c>
      <c r="B64" t="s">
        <v>208</v>
      </c>
      <c r="C64" t="s">
        <v>209</v>
      </c>
      <c r="D64" t="s">
        <v>334</v>
      </c>
      <c r="E64" t="s">
        <v>208</v>
      </c>
      <c r="F64" t="s">
        <v>209</v>
      </c>
      <c r="G64" t="s">
        <v>211</v>
      </c>
    </row>
    <row r="65" spans="1:7" s="1" customFormat="1" x14ac:dyDescent="0.25">
      <c r="A65" t="s">
        <v>216</v>
      </c>
      <c r="B65" t="s">
        <v>217</v>
      </c>
      <c r="C65" t="s">
        <v>216</v>
      </c>
      <c r="D65" t="s">
        <v>334</v>
      </c>
      <c r="E65" t="s">
        <v>217</v>
      </c>
      <c r="F65" t="s">
        <v>216</v>
      </c>
      <c r="G65" t="s">
        <v>219</v>
      </c>
    </row>
    <row r="66" spans="1:7" s="1" customFormat="1" x14ac:dyDescent="0.25">
      <c r="A66" t="s">
        <v>216</v>
      </c>
      <c r="B66" t="s">
        <v>217</v>
      </c>
      <c r="C66" t="s">
        <v>216</v>
      </c>
      <c r="D66" t="s">
        <v>335</v>
      </c>
      <c r="E66" t="s">
        <v>474</v>
      </c>
      <c r="F66" t="s">
        <v>475</v>
      </c>
      <c r="G66" t="s">
        <v>476</v>
      </c>
    </row>
    <row r="67" spans="1:7" s="1" customFormat="1" x14ac:dyDescent="0.25">
      <c r="A67" t="s">
        <v>216</v>
      </c>
      <c r="B67" t="s">
        <v>217</v>
      </c>
      <c r="C67" t="s">
        <v>216</v>
      </c>
      <c r="D67" t="s">
        <v>335</v>
      </c>
      <c r="E67" t="s">
        <v>477</v>
      </c>
      <c r="F67" t="s">
        <v>478</v>
      </c>
      <c r="G67" t="s">
        <v>479</v>
      </c>
    </row>
    <row r="68" spans="1:7" s="1" customFormat="1" x14ac:dyDescent="0.25">
      <c r="A68" t="s">
        <v>216</v>
      </c>
      <c r="B68" t="s">
        <v>217</v>
      </c>
      <c r="C68" t="s">
        <v>216</v>
      </c>
      <c r="D68" t="s">
        <v>335</v>
      </c>
      <c r="E68" t="s">
        <v>480</v>
      </c>
      <c r="F68" t="s">
        <v>481</v>
      </c>
      <c r="G68" t="s">
        <v>482</v>
      </c>
    </row>
    <row r="69" spans="1:7" s="1" customFormat="1" x14ac:dyDescent="0.25">
      <c r="A69" t="s">
        <v>216</v>
      </c>
      <c r="B69" t="s">
        <v>217</v>
      </c>
      <c r="C69" t="s">
        <v>216</v>
      </c>
      <c r="D69" t="s">
        <v>335</v>
      </c>
      <c r="E69" t="s">
        <v>483</v>
      </c>
      <c r="F69" t="s">
        <v>484</v>
      </c>
      <c r="G69" t="s">
        <v>485</v>
      </c>
    </row>
    <row r="70" spans="1:7" s="1" customFormat="1" x14ac:dyDescent="0.25">
      <c r="A70" t="s">
        <v>216</v>
      </c>
      <c r="B70" t="s">
        <v>217</v>
      </c>
      <c r="C70" t="s">
        <v>216</v>
      </c>
      <c r="D70" t="s">
        <v>335</v>
      </c>
      <c r="E70" t="s">
        <v>486</v>
      </c>
      <c r="F70" t="s">
        <v>487</v>
      </c>
      <c r="G70" t="s">
        <v>488</v>
      </c>
    </row>
    <row r="71" spans="1:7" s="1" customFormat="1" x14ac:dyDescent="0.25">
      <c r="A71" t="s">
        <v>216</v>
      </c>
      <c r="B71" t="s">
        <v>217</v>
      </c>
      <c r="C71" t="s">
        <v>216</v>
      </c>
      <c r="D71" t="s">
        <v>335</v>
      </c>
      <c r="E71" t="s">
        <v>489</v>
      </c>
      <c r="F71" t="s">
        <v>490</v>
      </c>
      <c r="G71" t="s">
        <v>491</v>
      </c>
    </row>
    <row r="72" spans="1:7" s="1" customFormat="1" x14ac:dyDescent="0.25">
      <c r="A72" t="s">
        <v>216</v>
      </c>
      <c r="B72" t="s">
        <v>217</v>
      </c>
      <c r="C72" t="s">
        <v>216</v>
      </c>
      <c r="D72" t="s">
        <v>335</v>
      </c>
      <c r="E72" t="s">
        <v>492</v>
      </c>
      <c r="F72" t="s">
        <v>493</v>
      </c>
      <c r="G72" t="s">
        <v>494</v>
      </c>
    </row>
    <row r="73" spans="1:7" s="1" customFormat="1" x14ac:dyDescent="0.25">
      <c r="A73" t="s">
        <v>216</v>
      </c>
      <c r="B73" t="s">
        <v>217</v>
      </c>
      <c r="C73" t="s">
        <v>216</v>
      </c>
      <c r="D73" t="s">
        <v>449</v>
      </c>
      <c r="E73" t="s">
        <v>495</v>
      </c>
      <c r="F73" t="s">
        <v>496</v>
      </c>
      <c r="G73" t="s">
        <v>497</v>
      </c>
    </row>
    <row r="74" spans="1:7" s="1" customFormat="1" x14ac:dyDescent="0.25">
      <c r="A74" t="s">
        <v>216</v>
      </c>
      <c r="B74" t="s">
        <v>217</v>
      </c>
      <c r="C74" t="s">
        <v>216</v>
      </c>
      <c r="D74" t="s">
        <v>449</v>
      </c>
      <c r="E74" t="s">
        <v>498</v>
      </c>
      <c r="F74" t="s">
        <v>499</v>
      </c>
      <c r="G74" t="s">
        <v>500</v>
      </c>
    </row>
    <row r="75" spans="1:7" s="1" customFormat="1" x14ac:dyDescent="0.25">
      <c r="A75" t="s">
        <v>216</v>
      </c>
      <c r="B75" t="s">
        <v>217</v>
      </c>
      <c r="C75" t="s">
        <v>216</v>
      </c>
      <c r="D75" t="s">
        <v>449</v>
      </c>
      <c r="E75" t="s">
        <v>501</v>
      </c>
      <c r="F75" t="s">
        <v>502</v>
      </c>
      <c r="G75" t="s">
        <v>503</v>
      </c>
    </row>
    <row r="76" spans="1:7" s="1" customFormat="1" x14ac:dyDescent="0.25">
      <c r="A76" t="s">
        <v>216</v>
      </c>
      <c r="B76" t="s">
        <v>217</v>
      </c>
      <c r="C76" t="s">
        <v>216</v>
      </c>
      <c r="D76" t="s">
        <v>449</v>
      </c>
      <c r="E76" t="s">
        <v>504</v>
      </c>
      <c r="F76" t="s">
        <v>505</v>
      </c>
      <c r="G76" t="s">
        <v>506</v>
      </c>
    </row>
    <row r="77" spans="1:7" s="1" customFormat="1" x14ac:dyDescent="0.25">
      <c r="A77" t="s">
        <v>216</v>
      </c>
      <c r="B77" t="s">
        <v>217</v>
      </c>
      <c r="C77" t="s">
        <v>216</v>
      </c>
      <c r="D77" t="s">
        <v>352</v>
      </c>
      <c r="E77" t="s">
        <v>407</v>
      </c>
      <c r="F77" t="s">
        <v>408</v>
      </c>
      <c r="G77" t="s">
        <v>409</v>
      </c>
    </row>
    <row r="78" spans="1:7" s="1" customFormat="1" x14ac:dyDescent="0.25">
      <c r="A78" t="s">
        <v>216</v>
      </c>
      <c r="B78" t="s">
        <v>217</v>
      </c>
      <c r="C78" t="s">
        <v>216</v>
      </c>
      <c r="D78" t="s">
        <v>352</v>
      </c>
      <c r="E78" t="s">
        <v>507</v>
      </c>
      <c r="F78" t="s">
        <v>508</v>
      </c>
      <c r="G78" t="s">
        <v>509</v>
      </c>
    </row>
    <row r="79" spans="1:7" s="1" customFormat="1" x14ac:dyDescent="0.25">
      <c r="A79" t="s">
        <v>216</v>
      </c>
      <c r="B79" t="s">
        <v>217</v>
      </c>
      <c r="C79" t="s">
        <v>216</v>
      </c>
      <c r="D79" t="s">
        <v>352</v>
      </c>
      <c r="E79" t="s">
        <v>416</v>
      </c>
      <c r="F79" t="s">
        <v>417</v>
      </c>
      <c r="G79" t="s">
        <v>418</v>
      </c>
    </row>
    <row r="80" spans="1:7" s="1" customFormat="1" x14ac:dyDescent="0.25">
      <c r="A80" t="s">
        <v>216</v>
      </c>
      <c r="B80" t="s">
        <v>217</v>
      </c>
      <c r="C80" t="s">
        <v>216</v>
      </c>
      <c r="D80" t="s">
        <v>352</v>
      </c>
      <c r="E80" t="s">
        <v>510</v>
      </c>
      <c r="F80" t="s">
        <v>511</v>
      </c>
      <c r="G80" t="s">
        <v>512</v>
      </c>
    </row>
    <row r="81" spans="1:7" s="1" customFormat="1" x14ac:dyDescent="0.25">
      <c r="A81" t="s">
        <v>216</v>
      </c>
      <c r="B81" t="s">
        <v>217</v>
      </c>
      <c r="C81" t="s">
        <v>216</v>
      </c>
      <c r="D81" t="s">
        <v>352</v>
      </c>
      <c r="E81" t="s">
        <v>422</v>
      </c>
      <c r="F81" t="s">
        <v>423</v>
      </c>
      <c r="G81" t="s">
        <v>424</v>
      </c>
    </row>
    <row r="82" spans="1:7" s="1" customFormat="1" x14ac:dyDescent="0.25">
      <c r="A82" t="s">
        <v>225</v>
      </c>
      <c r="B82" t="s">
        <v>226</v>
      </c>
      <c r="C82" t="s">
        <v>225</v>
      </c>
      <c r="D82" t="s">
        <v>334</v>
      </c>
      <c r="E82" t="s">
        <v>226</v>
      </c>
      <c r="F82" t="s">
        <v>225</v>
      </c>
      <c r="G82" t="s">
        <v>228</v>
      </c>
    </row>
    <row r="83" spans="1:7" s="1" customFormat="1" x14ac:dyDescent="0.25">
      <c r="A83" t="s">
        <v>234</v>
      </c>
      <c r="B83" t="s">
        <v>235</v>
      </c>
      <c r="C83" t="s">
        <v>236</v>
      </c>
      <c r="D83" t="s">
        <v>334</v>
      </c>
      <c r="E83" t="s">
        <v>235</v>
      </c>
      <c r="F83" t="s">
        <v>236</v>
      </c>
      <c r="G83" t="s">
        <v>238</v>
      </c>
    </row>
    <row r="84" spans="1:7" s="1" customFormat="1" x14ac:dyDescent="0.25">
      <c r="A84" t="s">
        <v>260</v>
      </c>
      <c r="B84" t="s">
        <v>259</v>
      </c>
      <c r="C84" t="s">
        <v>260</v>
      </c>
      <c r="D84" t="s">
        <v>334</v>
      </c>
      <c r="E84" t="s">
        <v>259</v>
      </c>
      <c r="F84" t="s">
        <v>260</v>
      </c>
      <c r="G84" t="s">
        <v>262</v>
      </c>
    </row>
    <row r="85" spans="1:7" s="1" customFormat="1" x14ac:dyDescent="0.25">
      <c r="A85" t="s">
        <v>260</v>
      </c>
      <c r="B85" t="s">
        <v>259</v>
      </c>
      <c r="C85" t="s">
        <v>260</v>
      </c>
      <c r="D85" t="s">
        <v>513</v>
      </c>
      <c r="E85" t="s">
        <v>514</v>
      </c>
      <c r="F85" t="s">
        <v>515</v>
      </c>
      <c r="G85" t="s">
        <v>516</v>
      </c>
    </row>
    <row r="86" spans="1:7" s="1" customFormat="1" x14ac:dyDescent="0.25">
      <c r="A86" t="s">
        <v>260</v>
      </c>
      <c r="B86" t="s">
        <v>259</v>
      </c>
      <c r="C86" t="s">
        <v>260</v>
      </c>
      <c r="D86" t="s">
        <v>513</v>
      </c>
      <c r="E86" t="s">
        <v>517</v>
      </c>
      <c r="F86" t="s">
        <v>518</v>
      </c>
      <c r="G86" t="s">
        <v>519</v>
      </c>
    </row>
    <row r="87" spans="1:7" s="1" customFormat="1" x14ac:dyDescent="0.25">
      <c r="A87" t="s">
        <v>267</v>
      </c>
      <c r="B87" t="s">
        <v>268</v>
      </c>
      <c r="C87" t="s">
        <v>267</v>
      </c>
      <c r="D87" t="s">
        <v>334</v>
      </c>
      <c r="E87" t="s">
        <v>268</v>
      </c>
      <c r="F87" t="s">
        <v>267</v>
      </c>
      <c r="G87" t="s">
        <v>270</v>
      </c>
    </row>
    <row r="88" spans="1:7" s="1" customFormat="1" x14ac:dyDescent="0.25">
      <c r="A88" t="s">
        <v>267</v>
      </c>
      <c r="B88" t="s">
        <v>268</v>
      </c>
      <c r="C88" t="s">
        <v>267</v>
      </c>
      <c r="D88" t="s">
        <v>513</v>
      </c>
      <c r="E88" t="s">
        <v>514</v>
      </c>
      <c r="F88" t="s">
        <v>515</v>
      </c>
      <c r="G88" t="s">
        <v>516</v>
      </c>
    </row>
    <row r="89" spans="1:7" s="1" customFormat="1" x14ac:dyDescent="0.25">
      <c r="A89" t="s">
        <v>267</v>
      </c>
      <c r="B89" t="s">
        <v>268</v>
      </c>
      <c r="C89" t="s">
        <v>267</v>
      </c>
      <c r="D89" t="s">
        <v>513</v>
      </c>
      <c r="E89" t="s">
        <v>517</v>
      </c>
      <c r="F89" t="s">
        <v>518</v>
      </c>
      <c r="G89" t="s">
        <v>519</v>
      </c>
    </row>
    <row r="90" spans="1:7" s="1" customFormat="1" x14ac:dyDescent="0.25">
      <c r="A90" t="s">
        <v>280</v>
      </c>
      <c r="B90" t="s">
        <v>279</v>
      </c>
      <c r="C90" t="s">
        <v>280</v>
      </c>
      <c r="D90" t="s">
        <v>334</v>
      </c>
      <c r="E90" t="s">
        <v>279</v>
      </c>
      <c r="F90" t="s">
        <v>280</v>
      </c>
      <c r="G90" t="s">
        <v>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 Sheet</vt:lpstr>
      <vt:lpstr>maindata</vt:lpstr>
      <vt:lpstr>Synonym Identifier</vt:lpstr>
      <vt:lpstr>Related Relationships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Anonymous</cp:lastModifiedBy>
  <dcterms:created xsi:type="dcterms:W3CDTF">2022-09-27T16:18:47Z</dcterms:created>
  <dcterms:modified xsi:type="dcterms:W3CDTF">2022-09-28T01:26:42Z</dcterms:modified>
</cp:coreProperties>
</file>